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24226"/>
  <mc:AlternateContent xmlns:mc="http://schemas.openxmlformats.org/markup-compatibility/2006">
    <mc:Choice Requires="x15">
      <x15ac:absPath xmlns:x15ac="http://schemas.microsoft.com/office/spreadsheetml/2010/11/ac" url="D:\Yousef Khalil\Data Analysis Content\Week 4\Post 2\"/>
    </mc:Choice>
  </mc:AlternateContent>
  <xr:revisionPtr revIDLastSave="0" documentId="13_ncr:1_{6872EF1E-DF49-4CF8-8CC2-2B25DEF89367}" xr6:coauthVersionLast="47" xr6:coauthVersionMax="47" xr10:uidLastSave="{00000000-0000-0000-0000-000000000000}"/>
  <bookViews>
    <workbookView xWindow="-108" yWindow="-108" windowWidth="23256" windowHeight="12576" activeTab="2" xr2:uid="{00000000-000D-0000-FFFF-FFFF00000000}"/>
  </bookViews>
  <sheets>
    <sheet name="Dataset" sheetId="1" r:id="rId1"/>
    <sheet name="Analysis" sheetId="4" r:id="rId2"/>
    <sheet name="Dashboard" sheetId="3" r:id="rId3"/>
  </sheets>
  <definedNames>
    <definedName name="Denominator">Dataset!$E$2:$E$73</definedName>
    <definedName name="Department">Dataset!$C$2:$C$73</definedName>
    <definedName name="Infection_Observed">Dataset!$D$2:$D$73</definedName>
    <definedName name="Infection_Rate">Dataset!$F$2:$F$73</definedName>
    <definedName name="Month">Dataset!$A$2:$A$73</definedName>
    <definedName name="Quarter">Dataset!$B$2:$B$73</definedName>
    <definedName name="Slicer_Department">#N/A</definedName>
    <definedName name="Slicer_Quarter">#N/A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 l="1"/>
  <c r="B6" i="4"/>
  <c r="B7" i="4"/>
  <c r="B8" i="4"/>
  <c r="B9" i="4"/>
  <c r="B10" i="4"/>
  <c r="B11" i="4"/>
  <c r="B12" i="4"/>
  <c r="B13" i="4"/>
  <c r="B14" i="4"/>
  <c r="B15" i="4"/>
  <c r="B16" i="4"/>
  <c r="F2" i="1"/>
  <c r="F3" i="1"/>
  <c r="F4" i="1"/>
  <c r="F5" i="1"/>
  <c r="C5" i="4" s="1"/>
  <c r="F6" i="1"/>
  <c r="F7" i="1"/>
  <c r="F8" i="1"/>
  <c r="F9" i="1"/>
  <c r="C6" i="4" s="1"/>
  <c r="F10" i="1"/>
  <c r="F11" i="1"/>
  <c r="F12" i="1"/>
  <c r="F13" i="1"/>
  <c r="F14" i="1"/>
  <c r="F15" i="1"/>
  <c r="F16" i="1"/>
  <c r="F17" i="1"/>
  <c r="C7" i="4" s="1"/>
  <c r="F18" i="1"/>
  <c r="F19" i="1"/>
  <c r="F20" i="1"/>
  <c r="F21" i="1"/>
  <c r="C8" i="4" s="1"/>
  <c r="F22" i="1"/>
  <c r="F23" i="1"/>
  <c r="F24" i="1"/>
  <c r="F25" i="1"/>
  <c r="F26" i="1"/>
  <c r="F27" i="1"/>
  <c r="F28" i="1"/>
  <c r="F29" i="1"/>
  <c r="F30" i="1"/>
  <c r="F31" i="1"/>
  <c r="F32" i="1"/>
  <c r="F33" i="1"/>
  <c r="C10" i="4" s="1"/>
  <c r="F34" i="1"/>
  <c r="F35" i="1"/>
  <c r="F36" i="1"/>
  <c r="F37" i="1"/>
  <c r="F38" i="1"/>
  <c r="F39" i="1"/>
  <c r="F40" i="1"/>
  <c r="F41" i="1"/>
  <c r="C11" i="4" s="1"/>
  <c r="F42" i="1"/>
  <c r="F43" i="1"/>
  <c r="F44" i="1"/>
  <c r="F45" i="1"/>
  <c r="C12" i="4" s="1"/>
  <c r="F46" i="1"/>
  <c r="F47" i="1"/>
  <c r="F48" i="1"/>
  <c r="F49" i="1"/>
  <c r="F50" i="1"/>
  <c r="F51" i="1"/>
  <c r="F52" i="1"/>
  <c r="F53" i="1"/>
  <c r="C13" i="4" s="1"/>
  <c r="F54" i="1"/>
  <c r="F55" i="1"/>
  <c r="F56" i="1"/>
  <c r="F57" i="1"/>
  <c r="F58" i="1"/>
  <c r="F59" i="1"/>
  <c r="F60" i="1"/>
  <c r="F61" i="1"/>
  <c r="F62" i="1"/>
  <c r="F63" i="1"/>
  <c r="F64" i="1"/>
  <c r="F65" i="1"/>
  <c r="F66" i="1"/>
  <c r="F67" i="1"/>
  <c r="F68" i="1"/>
  <c r="F69" i="1"/>
  <c r="C16" i="4" s="1"/>
  <c r="F70" i="1"/>
  <c r="F71" i="1"/>
  <c r="F72" i="1"/>
  <c r="F73" i="1"/>
  <c r="C9" i="4"/>
  <c r="C15" i="4"/>
  <c r="C14" i="4"/>
  <c r="D6" i="4" l="1"/>
  <c r="F6" i="4" s="1"/>
  <c r="D13" i="4"/>
  <c r="F13" i="4" s="1"/>
  <c r="D16" i="4"/>
  <c r="F16" i="4" s="1"/>
  <c r="D12" i="4"/>
  <c r="F12" i="4" s="1"/>
  <c r="D8" i="4"/>
  <c r="F8" i="4" s="1"/>
  <c r="D5" i="4"/>
  <c r="F5" i="4" s="1"/>
  <c r="D9" i="4"/>
  <c r="F9" i="4" s="1"/>
  <c r="D15" i="4"/>
  <c r="F15" i="4" s="1"/>
  <c r="D11" i="4"/>
  <c r="F11" i="4" s="1"/>
  <c r="D7" i="4"/>
  <c r="F7" i="4" s="1"/>
  <c r="D14" i="4"/>
  <c r="F14" i="4" s="1"/>
  <c r="D10" i="4"/>
  <c r="F10" i="4" s="1"/>
  <c r="E13" i="4" l="1"/>
  <c r="E7" i="4"/>
  <c r="E8" i="4"/>
  <c r="E12" i="4"/>
  <c r="E5" i="4"/>
  <c r="E14" i="4"/>
  <c r="E15" i="4"/>
  <c r="E9" i="4"/>
  <c r="E10" i="4"/>
  <c r="E11" i="4"/>
  <c r="E16" i="4"/>
  <c r="E6" i="4"/>
</calcChain>
</file>

<file path=xl/sharedStrings.xml><?xml version="1.0" encoding="utf-8"?>
<sst xmlns="http://schemas.openxmlformats.org/spreadsheetml/2006/main" count="258" uniqueCount="36">
  <si>
    <t>Month</t>
  </si>
  <si>
    <t>Quarter</t>
  </si>
  <si>
    <t>Department</t>
  </si>
  <si>
    <t>Infection Observed</t>
  </si>
  <si>
    <t>Denominator</t>
  </si>
  <si>
    <t>January</t>
  </si>
  <si>
    <t>February</t>
  </si>
  <si>
    <t>March</t>
  </si>
  <si>
    <t>April</t>
  </si>
  <si>
    <t>May</t>
  </si>
  <si>
    <t>June</t>
  </si>
  <si>
    <t>July</t>
  </si>
  <si>
    <t>August</t>
  </si>
  <si>
    <t>September</t>
  </si>
  <si>
    <t>October</t>
  </si>
  <si>
    <t>November</t>
  </si>
  <si>
    <t>December</t>
  </si>
  <si>
    <t>Q1</t>
  </si>
  <si>
    <t>Q2</t>
  </si>
  <si>
    <t>Q3</t>
  </si>
  <si>
    <t>Q4</t>
  </si>
  <si>
    <t>Medical ICU</t>
  </si>
  <si>
    <t>Surgical ICU</t>
  </si>
  <si>
    <t>Medical Ward</t>
  </si>
  <si>
    <t>Surgical Ward</t>
  </si>
  <si>
    <t>NICU</t>
  </si>
  <si>
    <t>PICU</t>
  </si>
  <si>
    <t>Infection Rate</t>
  </si>
  <si>
    <t>SPO Chart Table</t>
  </si>
  <si>
    <t>Mean</t>
  </si>
  <si>
    <t>Variance</t>
  </si>
  <si>
    <t>UCL</t>
  </si>
  <si>
    <t>LCL</t>
  </si>
  <si>
    <t>Row Labels</t>
  </si>
  <si>
    <t>(All)</t>
  </si>
  <si>
    <t>Total Infection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</si>
</sst>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sz val="1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0" fontId="0" fillId="0" borderId="0" xfId="1" applyNumberFormat="1" applyFont="1"/>
    <xf numFmtId="10" fontId="0" fillId="0" borderId="0" xfId="0" applyNumberFormat="1"/>
    <xf numFmtId="0" fontId="2" fillId="3" borderId="0" xfId="0" applyFont="1" applyFill="1"/>
    <xf numFmtId="0" fontId="0" fillId="0" borderId="0" xfId="0" applyAlignment="1">
      <alignment horizontal="center"/>
    </xf>
    <xf numFmtId="10" fontId="0" fillId="0" borderId="0" xfId="1" applyNumberFormat="1" applyFont="1" applyAlignment="1">
      <alignment horizontal="center"/>
    </xf>
    <xf numFmtId="9" fontId="0" fillId="0" borderId="0" xfId="0" applyNumberFormat="1" applyAlignment="1">
      <alignment horizontal="center"/>
    </xf>
    <xf numFmtId="164" fontId="0" fillId="0" borderId="0" xfId="0" applyNumberFormat="1" applyAlignment="1">
      <alignment horizontal="center"/>
    </xf>
    <xf numFmtId="0" fontId="4" fillId="2" borderId="0" xfId="0" applyFont="1" applyFill="1" applyAlignment="1">
      <alignment horizontal="center"/>
    </xf>
    <xf numFmtId="0" fontId="2" fillId="0" borderId="0" xfId="0" applyFont="1"/>
    <xf numFmtId="0" fontId="0" fillId="0" borderId="0" xfId="0" pivotButton="1"/>
    <xf numFmtId="0" fontId="0" fillId="0" borderId="0" xfId="0" applyAlignment="1">
      <alignment horizontal="left"/>
    </xf>
    <xf numFmtId="0" fontId="5" fillId="0" borderId="0" xfId="0" applyFont="1"/>
  </cellXfs>
  <cellStyles count="2">
    <cellStyle name="Normal" xfId="0" builtinId="0"/>
    <cellStyle name="Percent" xfId="1" builtinId="5"/>
  </cellStyles>
  <dxfs count="11">
    <dxf>
      <font>
        <b/>
        <color theme="1"/>
      </font>
      <border>
        <bottom style="thin">
          <color theme="9"/>
        </bottom>
        <vertical/>
        <horizontal/>
      </border>
    </dxf>
    <dxf>
      <font>
        <color theme="1"/>
      </font>
      <fill>
        <patternFill patternType="none">
          <bgColor auto="1"/>
        </patternFill>
      </fill>
      <border diagonalUp="0" diagonalDown="0">
        <left/>
        <right/>
        <top/>
        <bottom/>
        <vertical/>
        <horizontal/>
      </border>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theme="9"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s>
  <tableStyles count="1" defaultTableStyle="TableStyleMedium9" defaultPivotStyle="PivotStyleLight16">
    <tableStyle name="SlicerStyleDark6 2" pivot="0" table="0" count="10" xr9:uid="{49DFB118-C1D8-4FC9-85F4-56CD61024786}">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auto="1"/>
          </font>
          <fill>
            <patternFill patternType="solid">
              <fgColor theme="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latin typeface="+mn-lt"/>
              </a:rPr>
              <a:t>CAUTI Rate Control Chart</a:t>
            </a:r>
            <a:endParaRPr lang="en-US" b="1" baseline="0">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1"/>
          <c:order val="1"/>
          <c:tx>
            <c:strRef>
              <c:f>Analysis!$C$4</c:f>
              <c:strCache>
                <c:ptCount val="1"/>
                <c:pt idx="0">
                  <c:v>Infection Rate</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Analysis!$C$5:$C$16</c:f>
              <c:numCache>
                <c:formatCode>0.00%</c:formatCode>
                <c:ptCount val="12"/>
                <c:pt idx="0">
                  <c:v>0.14223197137834345</c:v>
                </c:pt>
                <c:pt idx="1">
                  <c:v>3.9875879421774764E-2</c:v>
                </c:pt>
                <c:pt idx="2">
                  <c:v>0.14379482477111005</c:v>
                </c:pt>
                <c:pt idx="3">
                  <c:v>0.1387745068811449</c:v>
                </c:pt>
                <c:pt idx="4">
                  <c:v>0.12013029635524819</c:v>
                </c:pt>
                <c:pt idx="5">
                  <c:v>8.4437311545569493E-2</c:v>
                </c:pt>
                <c:pt idx="6">
                  <c:v>5.6677410753497713E-2</c:v>
                </c:pt>
                <c:pt idx="7">
                  <c:v>4.4708074841722838E-2</c:v>
                </c:pt>
                <c:pt idx="8">
                  <c:v>9.4644011571212064E-2</c:v>
                </c:pt>
                <c:pt idx="9">
                  <c:v>6.0384897227002493E-2</c:v>
                </c:pt>
                <c:pt idx="10">
                  <c:v>7.4553939091611426E-2</c:v>
                </c:pt>
                <c:pt idx="11">
                  <c:v>1.9169836191031093E-2</c:v>
                </c:pt>
              </c:numCache>
            </c:numRef>
          </c:val>
          <c:smooth val="0"/>
          <c:extLst>
            <c:ext xmlns:c16="http://schemas.microsoft.com/office/drawing/2014/chart" uri="{C3380CC4-5D6E-409C-BE32-E72D297353CC}">
              <c16:uniqueId val="{00000001-1918-43F7-BB56-89DB5F235069}"/>
            </c:ext>
          </c:extLst>
        </c:ser>
        <c:ser>
          <c:idx val="2"/>
          <c:order val="2"/>
          <c:tx>
            <c:strRef>
              <c:f>Analysis!$D$4</c:f>
              <c:strCache>
                <c:ptCount val="1"/>
                <c:pt idx="0">
                  <c:v>Mean</c:v>
                </c:pt>
              </c:strCache>
            </c:strRef>
          </c:tx>
          <c:spPr>
            <a:ln w="19050" cap="rnd">
              <a:solidFill>
                <a:schemeClr val="accent1">
                  <a:lumMod val="75000"/>
                </a:schemeClr>
              </a:solidFill>
              <a:prstDash val="sysDot"/>
              <a:round/>
            </a:ln>
            <a:effectLst/>
          </c:spPr>
          <c:marker>
            <c:symbol val="none"/>
          </c:marker>
          <c:dLbls>
            <c:dLbl>
              <c:idx val="0"/>
              <c:layout>
                <c:manualLayout>
                  <c:x val="-3.4254698047801499E-2"/>
                  <c:y val="-1.16460949138115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1918-43F7-BB56-89DB5F235069}"/>
                </c:ext>
              </c:extLst>
            </c:dLbl>
            <c:dLbl>
              <c:idx val="1"/>
              <c:delete val="1"/>
              <c:extLst>
                <c:ext xmlns:c15="http://schemas.microsoft.com/office/drawing/2012/chart" uri="{CE6537A1-D6FC-4f65-9D91-7224C49458BB}"/>
                <c:ext xmlns:c16="http://schemas.microsoft.com/office/drawing/2014/chart" uri="{C3380CC4-5D6E-409C-BE32-E72D297353CC}">
                  <c16:uniqueId val="{00000010-1918-43F7-BB56-89DB5F235069}"/>
                </c:ext>
              </c:extLst>
            </c:dLbl>
            <c:dLbl>
              <c:idx val="2"/>
              <c:delete val="1"/>
              <c:extLst>
                <c:ext xmlns:c15="http://schemas.microsoft.com/office/drawing/2012/chart" uri="{CE6537A1-D6FC-4f65-9D91-7224C49458BB}"/>
                <c:ext xmlns:c16="http://schemas.microsoft.com/office/drawing/2014/chart" uri="{C3380CC4-5D6E-409C-BE32-E72D297353CC}">
                  <c16:uniqueId val="{00000011-1918-43F7-BB56-89DB5F235069}"/>
                </c:ext>
              </c:extLst>
            </c:dLbl>
            <c:dLbl>
              <c:idx val="3"/>
              <c:delete val="1"/>
              <c:extLst>
                <c:ext xmlns:c15="http://schemas.microsoft.com/office/drawing/2012/chart" uri="{CE6537A1-D6FC-4f65-9D91-7224C49458BB}"/>
                <c:ext xmlns:c16="http://schemas.microsoft.com/office/drawing/2014/chart" uri="{C3380CC4-5D6E-409C-BE32-E72D297353CC}">
                  <c16:uniqueId val="{00000012-1918-43F7-BB56-89DB5F235069}"/>
                </c:ext>
              </c:extLst>
            </c:dLbl>
            <c:dLbl>
              <c:idx val="4"/>
              <c:delete val="1"/>
              <c:extLst>
                <c:ext xmlns:c15="http://schemas.microsoft.com/office/drawing/2012/chart" uri="{CE6537A1-D6FC-4f65-9D91-7224C49458BB}"/>
                <c:ext xmlns:c16="http://schemas.microsoft.com/office/drawing/2014/chart" uri="{C3380CC4-5D6E-409C-BE32-E72D297353CC}">
                  <c16:uniqueId val="{00000013-1918-43F7-BB56-89DB5F235069}"/>
                </c:ext>
              </c:extLst>
            </c:dLbl>
            <c:dLbl>
              <c:idx val="5"/>
              <c:delete val="1"/>
              <c:extLst>
                <c:ext xmlns:c15="http://schemas.microsoft.com/office/drawing/2012/chart" uri="{CE6537A1-D6FC-4f65-9D91-7224C49458BB}"/>
                <c:ext xmlns:c16="http://schemas.microsoft.com/office/drawing/2014/chart" uri="{C3380CC4-5D6E-409C-BE32-E72D297353CC}">
                  <c16:uniqueId val="{00000014-1918-43F7-BB56-89DB5F235069}"/>
                </c:ext>
              </c:extLst>
            </c:dLbl>
            <c:dLbl>
              <c:idx val="6"/>
              <c:delete val="1"/>
              <c:extLst>
                <c:ext xmlns:c15="http://schemas.microsoft.com/office/drawing/2012/chart" uri="{CE6537A1-D6FC-4f65-9D91-7224C49458BB}"/>
                <c:ext xmlns:c16="http://schemas.microsoft.com/office/drawing/2014/chart" uri="{C3380CC4-5D6E-409C-BE32-E72D297353CC}">
                  <c16:uniqueId val="{00000015-1918-43F7-BB56-89DB5F235069}"/>
                </c:ext>
              </c:extLst>
            </c:dLbl>
            <c:dLbl>
              <c:idx val="7"/>
              <c:delete val="1"/>
              <c:extLst>
                <c:ext xmlns:c15="http://schemas.microsoft.com/office/drawing/2012/chart" uri="{CE6537A1-D6FC-4f65-9D91-7224C49458BB}"/>
                <c:ext xmlns:c16="http://schemas.microsoft.com/office/drawing/2014/chart" uri="{C3380CC4-5D6E-409C-BE32-E72D297353CC}">
                  <c16:uniqueId val="{00000016-1918-43F7-BB56-89DB5F235069}"/>
                </c:ext>
              </c:extLst>
            </c:dLbl>
            <c:dLbl>
              <c:idx val="8"/>
              <c:delete val="1"/>
              <c:extLst>
                <c:ext xmlns:c15="http://schemas.microsoft.com/office/drawing/2012/chart" uri="{CE6537A1-D6FC-4f65-9D91-7224C49458BB}"/>
                <c:ext xmlns:c16="http://schemas.microsoft.com/office/drawing/2014/chart" uri="{C3380CC4-5D6E-409C-BE32-E72D297353CC}">
                  <c16:uniqueId val="{00000017-1918-43F7-BB56-89DB5F235069}"/>
                </c:ext>
              </c:extLst>
            </c:dLbl>
            <c:dLbl>
              <c:idx val="9"/>
              <c:delete val="1"/>
              <c:extLst>
                <c:ext xmlns:c15="http://schemas.microsoft.com/office/drawing/2012/chart" uri="{CE6537A1-D6FC-4f65-9D91-7224C49458BB}"/>
                <c:ext xmlns:c16="http://schemas.microsoft.com/office/drawing/2014/chart" uri="{C3380CC4-5D6E-409C-BE32-E72D297353CC}">
                  <c16:uniqueId val="{00000018-1918-43F7-BB56-89DB5F235069}"/>
                </c:ext>
              </c:extLst>
            </c:dLbl>
            <c:dLbl>
              <c:idx val="10"/>
              <c:delete val="1"/>
              <c:extLst>
                <c:ext xmlns:c15="http://schemas.microsoft.com/office/drawing/2012/chart" uri="{CE6537A1-D6FC-4f65-9D91-7224C49458BB}"/>
                <c:ext xmlns:c16="http://schemas.microsoft.com/office/drawing/2014/chart" uri="{C3380CC4-5D6E-409C-BE32-E72D297353CC}">
                  <c16:uniqueId val="{00000019-1918-43F7-BB56-89DB5F235069}"/>
                </c:ext>
              </c:extLst>
            </c:dLbl>
            <c:dLbl>
              <c:idx val="11"/>
              <c:delete val="1"/>
              <c:extLst>
                <c:ext xmlns:c15="http://schemas.microsoft.com/office/drawing/2012/chart" uri="{CE6537A1-D6FC-4f65-9D91-7224C49458BB}"/>
                <c:ext xmlns:c16="http://schemas.microsoft.com/office/drawing/2014/chart" uri="{C3380CC4-5D6E-409C-BE32-E72D297353CC}">
                  <c16:uniqueId val="{0000001A-1918-43F7-BB56-89DB5F23506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Analysis!$D$5:$D$16</c:f>
              <c:numCache>
                <c:formatCode>0.0%</c:formatCode>
                <c:ptCount val="12"/>
                <c:pt idx="0">
                  <c:v>8.4948580002439031E-2</c:v>
                </c:pt>
                <c:pt idx="1">
                  <c:v>8.4948580002439031E-2</c:v>
                </c:pt>
                <c:pt idx="2">
                  <c:v>8.4948580002439031E-2</c:v>
                </c:pt>
                <c:pt idx="3">
                  <c:v>8.4948580002439031E-2</c:v>
                </c:pt>
                <c:pt idx="4">
                  <c:v>8.4948580002439031E-2</c:v>
                </c:pt>
                <c:pt idx="5">
                  <c:v>8.4948580002439031E-2</c:v>
                </c:pt>
                <c:pt idx="6">
                  <c:v>8.4948580002439031E-2</c:v>
                </c:pt>
                <c:pt idx="7">
                  <c:v>8.4948580002439031E-2</c:v>
                </c:pt>
                <c:pt idx="8">
                  <c:v>8.4948580002439031E-2</c:v>
                </c:pt>
                <c:pt idx="9">
                  <c:v>8.4948580002439031E-2</c:v>
                </c:pt>
                <c:pt idx="10">
                  <c:v>8.4948580002439031E-2</c:v>
                </c:pt>
                <c:pt idx="11">
                  <c:v>8.4948580002439031E-2</c:v>
                </c:pt>
              </c:numCache>
            </c:numRef>
          </c:val>
          <c:smooth val="0"/>
          <c:extLst>
            <c:ext xmlns:c16="http://schemas.microsoft.com/office/drawing/2014/chart" uri="{C3380CC4-5D6E-409C-BE32-E72D297353CC}">
              <c16:uniqueId val="{00000002-1918-43F7-BB56-89DB5F235069}"/>
            </c:ext>
          </c:extLst>
        </c:ser>
        <c:ser>
          <c:idx val="3"/>
          <c:order val="3"/>
          <c:tx>
            <c:strRef>
              <c:f>Analysis!$E$4</c:f>
              <c:strCache>
                <c:ptCount val="1"/>
                <c:pt idx="0">
                  <c:v>UCL</c:v>
                </c:pt>
              </c:strCache>
            </c:strRef>
          </c:tx>
          <c:spPr>
            <a:ln w="28575" cap="rnd">
              <a:solidFill>
                <a:schemeClr val="accent2"/>
              </a:solidFill>
              <a:round/>
            </a:ln>
            <a:effectLst/>
          </c:spPr>
          <c:marker>
            <c:symbol val="none"/>
          </c:marker>
          <c:dLbls>
            <c:dLbl>
              <c:idx val="0"/>
              <c:layout>
                <c:manualLayout>
                  <c:x val="-3.0300163628971664E-2"/>
                  <c:y val="-4.138587406303941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1918-43F7-BB56-89DB5F235069}"/>
                </c:ext>
              </c:extLst>
            </c:dLbl>
            <c:dLbl>
              <c:idx val="1"/>
              <c:delete val="1"/>
              <c:extLst>
                <c:ext xmlns:c15="http://schemas.microsoft.com/office/drawing/2012/chart" uri="{CE6537A1-D6FC-4f65-9D91-7224C49458BB}"/>
                <c:ext xmlns:c16="http://schemas.microsoft.com/office/drawing/2014/chart" uri="{C3380CC4-5D6E-409C-BE32-E72D297353CC}">
                  <c16:uniqueId val="{0000001B-1918-43F7-BB56-89DB5F235069}"/>
                </c:ext>
              </c:extLst>
            </c:dLbl>
            <c:dLbl>
              <c:idx val="2"/>
              <c:delete val="1"/>
              <c:extLst>
                <c:ext xmlns:c15="http://schemas.microsoft.com/office/drawing/2012/chart" uri="{CE6537A1-D6FC-4f65-9D91-7224C49458BB}"/>
                <c:ext xmlns:c16="http://schemas.microsoft.com/office/drawing/2014/chart" uri="{C3380CC4-5D6E-409C-BE32-E72D297353CC}">
                  <c16:uniqueId val="{0000001C-1918-43F7-BB56-89DB5F235069}"/>
                </c:ext>
              </c:extLst>
            </c:dLbl>
            <c:dLbl>
              <c:idx val="3"/>
              <c:delete val="1"/>
              <c:extLst>
                <c:ext xmlns:c15="http://schemas.microsoft.com/office/drawing/2012/chart" uri="{CE6537A1-D6FC-4f65-9D91-7224C49458BB}"/>
                <c:ext xmlns:c16="http://schemas.microsoft.com/office/drawing/2014/chart" uri="{C3380CC4-5D6E-409C-BE32-E72D297353CC}">
                  <c16:uniqueId val="{0000001D-1918-43F7-BB56-89DB5F235069}"/>
                </c:ext>
              </c:extLst>
            </c:dLbl>
            <c:dLbl>
              <c:idx val="4"/>
              <c:delete val="1"/>
              <c:extLst>
                <c:ext xmlns:c15="http://schemas.microsoft.com/office/drawing/2012/chart" uri="{CE6537A1-D6FC-4f65-9D91-7224C49458BB}"/>
                <c:ext xmlns:c16="http://schemas.microsoft.com/office/drawing/2014/chart" uri="{C3380CC4-5D6E-409C-BE32-E72D297353CC}">
                  <c16:uniqueId val="{0000001E-1918-43F7-BB56-89DB5F235069}"/>
                </c:ext>
              </c:extLst>
            </c:dLbl>
            <c:dLbl>
              <c:idx val="5"/>
              <c:delete val="1"/>
              <c:extLst>
                <c:ext xmlns:c15="http://schemas.microsoft.com/office/drawing/2012/chart" uri="{CE6537A1-D6FC-4f65-9D91-7224C49458BB}"/>
                <c:ext xmlns:c16="http://schemas.microsoft.com/office/drawing/2014/chart" uri="{C3380CC4-5D6E-409C-BE32-E72D297353CC}">
                  <c16:uniqueId val="{0000001F-1918-43F7-BB56-89DB5F235069}"/>
                </c:ext>
              </c:extLst>
            </c:dLbl>
            <c:dLbl>
              <c:idx val="6"/>
              <c:delete val="1"/>
              <c:extLst>
                <c:ext xmlns:c15="http://schemas.microsoft.com/office/drawing/2012/chart" uri="{CE6537A1-D6FC-4f65-9D91-7224C49458BB}"/>
                <c:ext xmlns:c16="http://schemas.microsoft.com/office/drawing/2014/chart" uri="{C3380CC4-5D6E-409C-BE32-E72D297353CC}">
                  <c16:uniqueId val="{00000020-1918-43F7-BB56-89DB5F235069}"/>
                </c:ext>
              </c:extLst>
            </c:dLbl>
            <c:dLbl>
              <c:idx val="7"/>
              <c:delete val="1"/>
              <c:extLst>
                <c:ext xmlns:c15="http://schemas.microsoft.com/office/drawing/2012/chart" uri="{CE6537A1-D6FC-4f65-9D91-7224C49458BB}"/>
                <c:ext xmlns:c16="http://schemas.microsoft.com/office/drawing/2014/chart" uri="{C3380CC4-5D6E-409C-BE32-E72D297353CC}">
                  <c16:uniqueId val="{00000021-1918-43F7-BB56-89DB5F235069}"/>
                </c:ext>
              </c:extLst>
            </c:dLbl>
            <c:dLbl>
              <c:idx val="8"/>
              <c:delete val="1"/>
              <c:extLst>
                <c:ext xmlns:c15="http://schemas.microsoft.com/office/drawing/2012/chart" uri="{CE6537A1-D6FC-4f65-9D91-7224C49458BB}"/>
                <c:ext xmlns:c16="http://schemas.microsoft.com/office/drawing/2014/chart" uri="{C3380CC4-5D6E-409C-BE32-E72D297353CC}">
                  <c16:uniqueId val="{00000022-1918-43F7-BB56-89DB5F235069}"/>
                </c:ext>
              </c:extLst>
            </c:dLbl>
            <c:dLbl>
              <c:idx val="9"/>
              <c:delete val="1"/>
              <c:extLst>
                <c:ext xmlns:c15="http://schemas.microsoft.com/office/drawing/2012/chart" uri="{CE6537A1-D6FC-4f65-9D91-7224C49458BB}"/>
                <c:ext xmlns:c16="http://schemas.microsoft.com/office/drawing/2014/chart" uri="{C3380CC4-5D6E-409C-BE32-E72D297353CC}">
                  <c16:uniqueId val="{00000023-1918-43F7-BB56-89DB5F235069}"/>
                </c:ext>
              </c:extLst>
            </c:dLbl>
            <c:dLbl>
              <c:idx val="10"/>
              <c:delete val="1"/>
              <c:extLst>
                <c:ext xmlns:c15="http://schemas.microsoft.com/office/drawing/2012/chart" uri="{CE6537A1-D6FC-4f65-9D91-7224C49458BB}"/>
                <c:ext xmlns:c16="http://schemas.microsoft.com/office/drawing/2014/chart" uri="{C3380CC4-5D6E-409C-BE32-E72D297353CC}">
                  <c16:uniqueId val="{00000024-1918-43F7-BB56-89DB5F235069}"/>
                </c:ext>
              </c:extLst>
            </c:dLbl>
            <c:dLbl>
              <c:idx val="11"/>
              <c:delete val="1"/>
              <c:extLst>
                <c:ext xmlns:c15="http://schemas.microsoft.com/office/drawing/2012/chart" uri="{CE6537A1-D6FC-4f65-9D91-7224C49458BB}"/>
                <c:ext xmlns:c16="http://schemas.microsoft.com/office/drawing/2014/chart" uri="{C3380CC4-5D6E-409C-BE32-E72D297353CC}">
                  <c16:uniqueId val="{00000025-1918-43F7-BB56-89DB5F2350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Analysis!$E$5:$E$16</c:f>
              <c:numCache>
                <c:formatCode>0%</c:formatCode>
                <c:ptCount val="12"/>
                <c:pt idx="0">
                  <c:v>0.21433769384763535</c:v>
                </c:pt>
                <c:pt idx="1">
                  <c:v>0.21433769384763535</c:v>
                </c:pt>
                <c:pt idx="2">
                  <c:v>0.21433769384763535</c:v>
                </c:pt>
                <c:pt idx="3">
                  <c:v>0.21433769384763535</c:v>
                </c:pt>
                <c:pt idx="4">
                  <c:v>0.21433769384763535</c:v>
                </c:pt>
                <c:pt idx="5">
                  <c:v>0.21433769384763535</c:v>
                </c:pt>
                <c:pt idx="6">
                  <c:v>0.21433769384763535</c:v>
                </c:pt>
                <c:pt idx="7">
                  <c:v>0.21433769384763535</c:v>
                </c:pt>
                <c:pt idx="8">
                  <c:v>0.21433769384763535</c:v>
                </c:pt>
                <c:pt idx="9">
                  <c:v>0.21433769384763535</c:v>
                </c:pt>
                <c:pt idx="10">
                  <c:v>0.21433769384763535</c:v>
                </c:pt>
                <c:pt idx="11">
                  <c:v>0.21433769384763535</c:v>
                </c:pt>
              </c:numCache>
            </c:numRef>
          </c:val>
          <c:smooth val="0"/>
          <c:extLst>
            <c:ext xmlns:c16="http://schemas.microsoft.com/office/drawing/2014/chart" uri="{C3380CC4-5D6E-409C-BE32-E72D297353CC}">
              <c16:uniqueId val="{00000003-1918-43F7-BB56-89DB5F235069}"/>
            </c:ext>
          </c:extLst>
        </c:ser>
        <c:ser>
          <c:idx val="4"/>
          <c:order val="4"/>
          <c:tx>
            <c:strRef>
              <c:f>Analysis!$F$4</c:f>
              <c:strCache>
                <c:ptCount val="1"/>
                <c:pt idx="0">
                  <c:v>LCL</c:v>
                </c:pt>
              </c:strCache>
            </c:strRef>
          </c:tx>
          <c:spPr>
            <a:ln w="28575" cap="rnd">
              <a:solidFill>
                <a:schemeClr val="accent3">
                  <a:lumMod val="75000"/>
                </a:schemeClr>
              </a:solidFill>
              <a:round/>
            </a:ln>
            <a:effectLst/>
          </c:spPr>
          <c:marker>
            <c:symbol val="none"/>
          </c:marker>
          <c:dLbls>
            <c:dLbl>
              <c:idx val="0"/>
              <c:layout>
                <c:manualLayout>
                  <c:x val="-2.7075351213282247E-2"/>
                  <c:y val="-1.16460949138114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1918-43F7-BB56-89DB5F235069}"/>
                </c:ext>
              </c:extLst>
            </c:dLbl>
            <c:dLbl>
              <c:idx val="1"/>
              <c:delete val="1"/>
              <c:extLst>
                <c:ext xmlns:c15="http://schemas.microsoft.com/office/drawing/2012/chart" uri="{CE6537A1-D6FC-4f65-9D91-7224C49458BB}"/>
                <c:ext xmlns:c16="http://schemas.microsoft.com/office/drawing/2014/chart" uri="{C3380CC4-5D6E-409C-BE32-E72D297353CC}">
                  <c16:uniqueId val="{0000000F-1918-43F7-BB56-89DB5F235069}"/>
                </c:ext>
              </c:extLst>
            </c:dLbl>
            <c:dLbl>
              <c:idx val="2"/>
              <c:delete val="1"/>
              <c:extLst>
                <c:ext xmlns:c15="http://schemas.microsoft.com/office/drawing/2012/chart" uri="{CE6537A1-D6FC-4f65-9D91-7224C49458BB}"/>
                <c:ext xmlns:c16="http://schemas.microsoft.com/office/drawing/2014/chart" uri="{C3380CC4-5D6E-409C-BE32-E72D297353CC}">
                  <c16:uniqueId val="{0000000E-1918-43F7-BB56-89DB5F235069}"/>
                </c:ext>
              </c:extLst>
            </c:dLbl>
            <c:dLbl>
              <c:idx val="3"/>
              <c:delete val="1"/>
              <c:extLst>
                <c:ext xmlns:c15="http://schemas.microsoft.com/office/drawing/2012/chart" uri="{CE6537A1-D6FC-4f65-9D91-7224C49458BB}"/>
                <c:ext xmlns:c16="http://schemas.microsoft.com/office/drawing/2014/chart" uri="{C3380CC4-5D6E-409C-BE32-E72D297353CC}">
                  <c16:uniqueId val="{0000000D-1918-43F7-BB56-89DB5F235069}"/>
                </c:ext>
              </c:extLst>
            </c:dLbl>
            <c:dLbl>
              <c:idx val="4"/>
              <c:delete val="1"/>
              <c:extLst>
                <c:ext xmlns:c15="http://schemas.microsoft.com/office/drawing/2012/chart" uri="{CE6537A1-D6FC-4f65-9D91-7224C49458BB}"/>
                <c:ext xmlns:c16="http://schemas.microsoft.com/office/drawing/2014/chart" uri="{C3380CC4-5D6E-409C-BE32-E72D297353CC}">
                  <c16:uniqueId val="{0000000C-1918-43F7-BB56-89DB5F235069}"/>
                </c:ext>
              </c:extLst>
            </c:dLbl>
            <c:dLbl>
              <c:idx val="5"/>
              <c:delete val="1"/>
              <c:extLst>
                <c:ext xmlns:c15="http://schemas.microsoft.com/office/drawing/2012/chart" uri="{CE6537A1-D6FC-4f65-9D91-7224C49458BB}"/>
                <c:ext xmlns:c16="http://schemas.microsoft.com/office/drawing/2014/chart" uri="{C3380CC4-5D6E-409C-BE32-E72D297353CC}">
                  <c16:uniqueId val="{0000000B-1918-43F7-BB56-89DB5F235069}"/>
                </c:ext>
              </c:extLst>
            </c:dLbl>
            <c:dLbl>
              <c:idx val="6"/>
              <c:delete val="1"/>
              <c:extLst>
                <c:ext xmlns:c15="http://schemas.microsoft.com/office/drawing/2012/chart" uri="{CE6537A1-D6FC-4f65-9D91-7224C49458BB}"/>
                <c:ext xmlns:c16="http://schemas.microsoft.com/office/drawing/2014/chart" uri="{C3380CC4-5D6E-409C-BE32-E72D297353CC}">
                  <c16:uniqueId val="{0000000A-1918-43F7-BB56-89DB5F235069}"/>
                </c:ext>
              </c:extLst>
            </c:dLbl>
            <c:dLbl>
              <c:idx val="7"/>
              <c:delete val="1"/>
              <c:extLst>
                <c:ext xmlns:c15="http://schemas.microsoft.com/office/drawing/2012/chart" uri="{CE6537A1-D6FC-4f65-9D91-7224C49458BB}"/>
                <c:ext xmlns:c16="http://schemas.microsoft.com/office/drawing/2014/chart" uri="{C3380CC4-5D6E-409C-BE32-E72D297353CC}">
                  <c16:uniqueId val="{00000009-1918-43F7-BB56-89DB5F235069}"/>
                </c:ext>
              </c:extLst>
            </c:dLbl>
            <c:dLbl>
              <c:idx val="8"/>
              <c:delete val="1"/>
              <c:extLst>
                <c:ext xmlns:c15="http://schemas.microsoft.com/office/drawing/2012/chart" uri="{CE6537A1-D6FC-4f65-9D91-7224C49458BB}"/>
                <c:ext xmlns:c16="http://schemas.microsoft.com/office/drawing/2014/chart" uri="{C3380CC4-5D6E-409C-BE32-E72D297353CC}">
                  <c16:uniqueId val="{00000008-1918-43F7-BB56-89DB5F235069}"/>
                </c:ext>
              </c:extLst>
            </c:dLbl>
            <c:dLbl>
              <c:idx val="9"/>
              <c:delete val="1"/>
              <c:extLst>
                <c:ext xmlns:c15="http://schemas.microsoft.com/office/drawing/2012/chart" uri="{CE6537A1-D6FC-4f65-9D91-7224C49458BB}"/>
                <c:ext xmlns:c16="http://schemas.microsoft.com/office/drawing/2014/chart" uri="{C3380CC4-5D6E-409C-BE32-E72D297353CC}">
                  <c16:uniqueId val="{00000006-1918-43F7-BB56-89DB5F235069}"/>
                </c:ext>
              </c:extLst>
            </c:dLbl>
            <c:dLbl>
              <c:idx val="10"/>
              <c:delete val="1"/>
              <c:extLst>
                <c:ext xmlns:c15="http://schemas.microsoft.com/office/drawing/2012/chart" uri="{CE6537A1-D6FC-4f65-9D91-7224C49458BB}"/>
                <c:ext xmlns:c16="http://schemas.microsoft.com/office/drawing/2014/chart" uri="{C3380CC4-5D6E-409C-BE32-E72D297353CC}">
                  <c16:uniqueId val="{00000005-1918-43F7-BB56-89DB5F235069}"/>
                </c:ext>
              </c:extLst>
            </c:dLbl>
            <c:dLbl>
              <c:idx val="11"/>
              <c:delete val="1"/>
              <c:extLst>
                <c:ext xmlns:c15="http://schemas.microsoft.com/office/drawing/2012/chart" uri="{CE6537A1-D6FC-4f65-9D91-7224C49458BB}"/>
                <c:ext xmlns:c16="http://schemas.microsoft.com/office/drawing/2014/chart" uri="{C3380CC4-5D6E-409C-BE32-E72D297353CC}">
                  <c16:uniqueId val="{00000007-1918-43F7-BB56-89DB5F23506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Analysis!$F$5:$F$16</c:f>
              <c:numCache>
                <c:formatCode>0%</c:formatCode>
                <c:ptCount val="12"/>
                <c:pt idx="0">
                  <c:v>4.4440533842757271E-2</c:v>
                </c:pt>
                <c:pt idx="1">
                  <c:v>4.4440533842757271E-2</c:v>
                </c:pt>
                <c:pt idx="2">
                  <c:v>4.4440533842757271E-2</c:v>
                </c:pt>
                <c:pt idx="3">
                  <c:v>4.4440533842757271E-2</c:v>
                </c:pt>
                <c:pt idx="4">
                  <c:v>4.4440533842757271E-2</c:v>
                </c:pt>
                <c:pt idx="5">
                  <c:v>4.4440533842757271E-2</c:v>
                </c:pt>
                <c:pt idx="6">
                  <c:v>4.4440533842757271E-2</c:v>
                </c:pt>
                <c:pt idx="7">
                  <c:v>4.4440533842757271E-2</c:v>
                </c:pt>
                <c:pt idx="8">
                  <c:v>4.4440533842757271E-2</c:v>
                </c:pt>
                <c:pt idx="9">
                  <c:v>4.4440533842757271E-2</c:v>
                </c:pt>
                <c:pt idx="10">
                  <c:v>4.4440533842757271E-2</c:v>
                </c:pt>
                <c:pt idx="11">
                  <c:v>4.4440533842757271E-2</c:v>
                </c:pt>
              </c:numCache>
            </c:numRef>
          </c:val>
          <c:smooth val="0"/>
          <c:extLst>
            <c:ext xmlns:c16="http://schemas.microsoft.com/office/drawing/2014/chart" uri="{C3380CC4-5D6E-409C-BE32-E72D297353CC}">
              <c16:uniqueId val="{00000004-1918-43F7-BB56-89DB5F235069}"/>
            </c:ext>
          </c:extLst>
        </c:ser>
        <c:dLbls>
          <c:dLblPos val="t"/>
          <c:showLegendKey val="0"/>
          <c:showVal val="1"/>
          <c:showCatName val="0"/>
          <c:showSerName val="0"/>
          <c:showPercent val="0"/>
          <c:showBubbleSize val="0"/>
        </c:dLbls>
        <c:smooth val="0"/>
        <c:axId val="1094752847"/>
        <c:axId val="1094747087"/>
        <c:extLst>
          <c:ext xmlns:c15="http://schemas.microsoft.com/office/drawing/2012/chart" uri="{02D57815-91ED-43cb-92C2-25804820EDAC}">
            <c15:filteredLineSeries>
              <c15:ser>
                <c:idx val="0"/>
                <c:order val="0"/>
                <c:tx>
                  <c:strRef>
                    <c:extLst>
                      <c:ext uri="{02D57815-91ED-43cb-92C2-25804820EDAC}">
                        <c15:formulaRef>
                          <c15:sqref>Analysis!$B$4</c15:sqref>
                        </c15:formulaRef>
                      </c:ext>
                    </c:extLst>
                    <c:strCache>
                      <c:ptCount val="1"/>
                      <c:pt idx="0">
                        <c:v>Quarter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Analysis!$A$5:$A$16</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Analysis!$B$5:$B$16</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918-43F7-BB56-89DB5F235069}"/>
                  </c:ext>
                </c:extLst>
              </c15:ser>
            </c15:filteredLineSeries>
          </c:ext>
        </c:extLst>
      </c:lineChart>
      <c:catAx>
        <c:axId val="109475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94747087"/>
        <c:crosses val="autoZero"/>
        <c:auto val="1"/>
        <c:lblAlgn val="ctr"/>
        <c:lblOffset val="100"/>
        <c:noMultiLvlLbl val="0"/>
      </c:catAx>
      <c:valAx>
        <c:axId val="1094747087"/>
        <c:scaling>
          <c:orientation val="minMax"/>
          <c:max val="0.25"/>
        </c:scaling>
        <c:delete val="1"/>
        <c:axPos val="l"/>
        <c:numFmt formatCode="0.00%" sourceLinked="1"/>
        <c:majorTickMark val="none"/>
        <c:minorTickMark val="none"/>
        <c:tickLblPos val="nextTo"/>
        <c:crossAx val="1094752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[CAUTI_Data_2025.xlsx]Analysis!PivotTable1</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Infection</a:t>
            </a:r>
            <a:r>
              <a:rPr lang="en-US" b="1" baseline="0">
                <a:solidFill>
                  <a:schemeClr val="tx1"/>
                </a:solidFill>
              </a:rPr>
              <a:t> Rate MoM of Variance per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
      </c:pivotFmt>
      <c:pivotFmt>
        <c:idx val="10"/>
        <c:spPr>
          <a:solidFill>
            <a:schemeClr val="accent2"/>
          </a:solidFill>
          <a:ln>
            <a:noFill/>
          </a:ln>
          <a:effectLst/>
        </c:spPr>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
      </c:pivotFmt>
      <c:pivotFmt>
        <c:idx val="1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
      </c:pivotFmt>
      <c:pivotFmt>
        <c:idx val="14"/>
        <c:spPr>
          <a:solidFill>
            <a:schemeClr val="accent2"/>
          </a:solidFill>
          <a:ln>
            <a:noFill/>
          </a:ln>
          <a:effectLst/>
        </c:spPr>
      </c:pivotFmt>
      <c:pivotFmt>
        <c:idx val="15"/>
        <c:spPr>
          <a:solidFill>
            <a:schemeClr val="accent1">
              <a:lumMod val="40000"/>
              <a:lumOff val="60000"/>
            </a:schemeClr>
          </a:solidFill>
          <a:ln>
            <a:noFill/>
          </a:ln>
          <a:effectLst/>
        </c:spPr>
      </c:pivotFmt>
      <c:pivotFmt>
        <c:idx val="16"/>
        <c:spPr>
          <a:solidFill>
            <a:schemeClr val="accent2"/>
          </a:solidFill>
          <a:ln>
            <a:noFill/>
          </a:ln>
          <a:effectLst/>
        </c:spPr>
      </c:pivotFmt>
    </c:pivotFmts>
    <c:plotArea>
      <c:layout/>
      <c:barChart>
        <c:barDir val="col"/>
        <c:grouping val="clustered"/>
        <c:varyColors val="0"/>
        <c:ser>
          <c:idx val="0"/>
          <c:order val="0"/>
          <c:tx>
            <c:strRef>
              <c:f>Analysis!$B$22</c:f>
              <c:strCache>
                <c:ptCount val="1"/>
                <c:pt idx="0">
                  <c:v>Total Infection Rate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Analysis!$B$23:$B$34</c:f>
              <c:numCache>
                <c:formatCode>0.00%</c:formatCode>
                <c:ptCount val="12"/>
                <c:pt idx="0">
                  <c:v>0.14223197137834345</c:v>
                </c:pt>
                <c:pt idx="1">
                  <c:v>3.9875879421774764E-2</c:v>
                </c:pt>
                <c:pt idx="2">
                  <c:v>0.14379482477111005</c:v>
                </c:pt>
                <c:pt idx="3">
                  <c:v>0.1387745068811449</c:v>
                </c:pt>
                <c:pt idx="4">
                  <c:v>0.12013029635524819</c:v>
                </c:pt>
                <c:pt idx="5">
                  <c:v>8.4437311545569493E-2</c:v>
                </c:pt>
                <c:pt idx="6">
                  <c:v>5.6677410753497713E-2</c:v>
                </c:pt>
                <c:pt idx="7">
                  <c:v>4.4708074841722838E-2</c:v>
                </c:pt>
                <c:pt idx="8">
                  <c:v>9.4644011571212064E-2</c:v>
                </c:pt>
                <c:pt idx="9">
                  <c:v>6.0384897227002493E-2</c:v>
                </c:pt>
                <c:pt idx="10">
                  <c:v>7.4553939091611426E-2</c:v>
                </c:pt>
                <c:pt idx="11">
                  <c:v>1.9169836191031093E-2</c:v>
                </c:pt>
              </c:numCache>
            </c:numRef>
          </c:val>
          <c:extLst>
            <c:ext xmlns:c16="http://schemas.microsoft.com/office/drawing/2014/chart" uri="{C3380CC4-5D6E-409C-BE32-E72D297353CC}">
              <c16:uniqueId val="{00000000-B599-485C-B4A7-5839EEEE3300}"/>
            </c:ext>
          </c:extLst>
        </c:ser>
        <c:ser>
          <c:idx val="1"/>
          <c:order val="1"/>
          <c:tx>
            <c:strRef>
              <c:f>Analysis!$C$22</c:f>
              <c:strCache>
                <c:ptCount val="1"/>
                <c:pt idx="0">
                  <c:v>Variance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Analysis!$C$23:$C$34</c:f>
              <c:numCache>
                <c:formatCode>0.00%</c:formatCode>
                <c:ptCount val="12"/>
                <c:pt idx="1">
                  <c:v>-0.1023560919565687</c:v>
                </c:pt>
                <c:pt idx="2">
                  <c:v>0.1039189453493353</c:v>
                </c:pt>
                <c:pt idx="3">
                  <c:v>-5.0203178899651535E-3</c:v>
                </c:pt>
                <c:pt idx="4">
                  <c:v>-1.8644210525896709E-2</c:v>
                </c:pt>
                <c:pt idx="5">
                  <c:v>-3.5692984809678696E-2</c:v>
                </c:pt>
                <c:pt idx="6">
                  <c:v>-2.775990079207178E-2</c:v>
                </c:pt>
                <c:pt idx="7">
                  <c:v>-1.1969335911774875E-2</c:v>
                </c:pt>
                <c:pt idx="8">
                  <c:v>4.9935936729489226E-2</c:v>
                </c:pt>
                <c:pt idx="9">
                  <c:v>-3.4259114344209571E-2</c:v>
                </c:pt>
                <c:pt idx="10">
                  <c:v>1.4169041864608933E-2</c:v>
                </c:pt>
                <c:pt idx="11">
                  <c:v>-5.5384102900580337E-2</c:v>
                </c:pt>
              </c:numCache>
            </c:numRef>
          </c:val>
          <c:extLst>
            <c:ext xmlns:c16="http://schemas.microsoft.com/office/drawing/2014/chart" uri="{C3380CC4-5D6E-409C-BE32-E72D297353CC}">
              <c16:uniqueId val="{00000001-B599-485C-B4A7-5839EEEE3300}"/>
            </c:ext>
          </c:extLst>
        </c:ser>
        <c:dLbls>
          <c:dLblPos val="outEnd"/>
          <c:showLegendKey val="0"/>
          <c:showVal val="1"/>
          <c:showCatName val="0"/>
          <c:showSerName val="0"/>
          <c:showPercent val="0"/>
          <c:showBubbleSize val="0"/>
        </c:dLbls>
        <c:gapWidth val="50"/>
        <c:overlap val="50"/>
        <c:axId val="466421487"/>
        <c:axId val="466422927"/>
      </c:barChart>
      <c:catAx>
        <c:axId val="466421487"/>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66422927"/>
        <c:crosses val="autoZero"/>
        <c:auto val="1"/>
        <c:lblAlgn val="ctr"/>
        <c:lblOffset val="0"/>
        <c:noMultiLvlLbl val="0"/>
      </c:catAx>
      <c:valAx>
        <c:axId val="46642292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MoM Infection Rate Variance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crossAx val="4664214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3</xdr:row>
      <xdr:rowOff>30480</xdr:rowOff>
    </xdr:from>
    <xdr:to>
      <xdr:col>23</xdr:col>
      <xdr:colOff>320040</xdr:colOff>
      <xdr:row>21</xdr:row>
      <xdr:rowOff>121920</xdr:rowOff>
    </xdr:to>
    <xdr:graphicFrame macro="">
      <xdr:nvGraphicFramePr>
        <xdr:cNvPr id="2" name="Chart 1">
          <a:extLst>
            <a:ext uri="{FF2B5EF4-FFF2-40B4-BE49-F238E27FC236}">
              <a16:creationId xmlns:a16="http://schemas.microsoft.com/office/drawing/2014/main" id="{A59F9709-A1F5-4AEC-A437-72D705548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563880</xdr:colOff>
      <xdr:row>3</xdr:row>
      <xdr:rowOff>53340</xdr:rowOff>
    </xdr:from>
    <xdr:to>
      <xdr:col>23</xdr:col>
      <xdr:colOff>274320</xdr:colOff>
      <xdr:row>6</xdr:row>
      <xdr:rowOff>129540</xdr:rowOff>
    </xdr:to>
    <mc:AlternateContent xmlns:mc="http://schemas.openxmlformats.org/markup-compatibility/2006" xmlns:sle15="http://schemas.microsoft.com/office/drawing/2012/slicer">
      <mc:Choice Requires="sle15">
        <xdr:graphicFrame macro="">
          <xdr:nvGraphicFramePr>
            <xdr:cNvPr id="3" name="Quarter">
              <a:extLst>
                <a:ext uri="{FF2B5EF4-FFF2-40B4-BE49-F238E27FC236}">
                  <a16:creationId xmlns:a16="http://schemas.microsoft.com/office/drawing/2014/main" id="{17072112-A4B2-4D96-905F-BB11FB709C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146280" y="601980"/>
              <a:ext cx="2148840" cy="624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68580</xdr:colOff>
      <xdr:row>0</xdr:row>
      <xdr:rowOff>38100</xdr:rowOff>
    </xdr:from>
    <xdr:to>
      <xdr:col>23</xdr:col>
      <xdr:colOff>320040</xdr:colOff>
      <xdr:row>3</xdr:row>
      <xdr:rowOff>7620</xdr:rowOff>
    </xdr:to>
    <xdr:sp macro="" textlink="">
      <xdr:nvSpPr>
        <xdr:cNvPr id="6" name="Rectangle 5">
          <a:extLst>
            <a:ext uri="{FF2B5EF4-FFF2-40B4-BE49-F238E27FC236}">
              <a16:creationId xmlns:a16="http://schemas.microsoft.com/office/drawing/2014/main" id="{E1E4B754-E4CE-8698-F943-B737EA2945B8}"/>
            </a:ext>
          </a:extLst>
        </xdr:cNvPr>
        <xdr:cNvSpPr/>
      </xdr:nvSpPr>
      <xdr:spPr>
        <a:xfrm>
          <a:off x="68580" y="38100"/>
          <a:ext cx="14272260" cy="51816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3200">
              <a:latin typeface="Amasis MT Pro" panose="02040504050005020304" pitchFamily="18" charset="0"/>
            </a:rPr>
            <a:t>CAUTI</a:t>
          </a:r>
          <a:r>
            <a:rPr lang="en-US" sz="3200" baseline="0">
              <a:latin typeface="Amasis MT Pro" panose="02040504050005020304" pitchFamily="18" charset="0"/>
            </a:rPr>
            <a:t> Rate KPI Dashboard - year 2025</a:t>
          </a:r>
          <a:endParaRPr lang="en-US" sz="3200">
            <a:latin typeface="Amasis MT Pro" panose="02040504050005020304" pitchFamily="18" charset="0"/>
          </a:endParaRPr>
        </a:p>
      </xdr:txBody>
    </xdr:sp>
    <xdr:clientData/>
  </xdr:twoCellAnchor>
  <xdr:twoCellAnchor>
    <xdr:from>
      <xdr:col>0</xdr:col>
      <xdr:colOff>68580</xdr:colOff>
      <xdr:row>21</xdr:row>
      <xdr:rowOff>175260</xdr:rowOff>
    </xdr:from>
    <xdr:to>
      <xdr:col>20</xdr:col>
      <xdr:colOff>571500</xdr:colOff>
      <xdr:row>39</xdr:row>
      <xdr:rowOff>152400</xdr:rowOff>
    </xdr:to>
    <xdr:graphicFrame macro="">
      <xdr:nvGraphicFramePr>
        <xdr:cNvPr id="7" name="Chart 6">
          <a:extLst>
            <a:ext uri="{FF2B5EF4-FFF2-40B4-BE49-F238E27FC236}">
              <a16:creationId xmlns:a16="http://schemas.microsoft.com/office/drawing/2014/main" id="{94432A42-3081-48BF-A17D-B29979DA5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0</xdr:colOff>
      <xdr:row>22</xdr:row>
      <xdr:rowOff>22861</xdr:rowOff>
    </xdr:from>
    <xdr:to>
      <xdr:col>23</xdr:col>
      <xdr:colOff>312420</xdr:colOff>
      <xdr:row>39</xdr:row>
      <xdr:rowOff>175260</xdr:rowOff>
    </xdr:to>
    <mc:AlternateContent xmlns:mc="http://schemas.openxmlformats.org/markup-compatibility/2006">
      <mc:Choice xmlns:a14="http://schemas.microsoft.com/office/drawing/2010/main" Requires="a14">
        <xdr:graphicFrame macro="">
          <xdr:nvGraphicFramePr>
            <xdr:cNvPr id="12" name="Department 1">
              <a:extLst>
                <a:ext uri="{FF2B5EF4-FFF2-40B4-BE49-F238E27FC236}">
                  <a16:creationId xmlns:a16="http://schemas.microsoft.com/office/drawing/2014/main" id="{1108F3CB-DEE2-4AAA-9D34-78790FEAE34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801600" y="4046221"/>
              <a:ext cx="1531620" cy="3261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ef Khalil" refreshedDate="46263.486611458335" createdVersion="8" refreshedVersion="8" minRefreshableVersion="3" recordCount="72" xr:uid="{A536FFCA-EBA3-44E5-A984-626BD39418EF}">
  <cacheSource type="worksheet">
    <worksheetSource name="Dataset"/>
  </cacheSource>
  <cacheFields count="6">
    <cacheField name="Month" numFmtId="0">
      <sharedItems count="12">
        <s v="January"/>
        <s v="February"/>
        <s v="March"/>
        <s v="April"/>
        <s v="May"/>
        <s v="June"/>
        <s v="July"/>
        <s v="August"/>
        <s v="September"/>
        <s v="October"/>
        <s v="November"/>
        <s v="December"/>
      </sharedItems>
    </cacheField>
    <cacheField name="Quarter" numFmtId="0">
      <sharedItems/>
    </cacheField>
    <cacheField name="Department" numFmtId="0">
      <sharedItems count="6">
        <s v="Medical ICU"/>
        <s v="Surgical ICU"/>
        <s v="Medical Ward"/>
        <s v="Surgical Ward"/>
        <s v="NICU"/>
        <s v="PICU"/>
      </sharedItems>
    </cacheField>
    <cacheField name="Infection Observed" numFmtId="0">
      <sharedItems containsSemiMixedTypes="0" containsString="0" containsNumber="1" containsInteger="1" minValue="0" maxValue="4"/>
    </cacheField>
    <cacheField name="Denominator" numFmtId="0">
      <sharedItems containsSemiMixedTypes="0" containsString="0" containsNumber="1" containsInteger="1" minValue="50" maxValue="400"/>
    </cacheField>
    <cacheField name="Infection Rate" numFmtId="10">
      <sharedItems containsSemiMixedTypes="0" containsString="0" containsNumber="1" minValue="0" maxValue="5.6603773584905662E-2"/>
    </cacheField>
  </cacheFields>
  <extLst>
    <ext xmlns:x14="http://schemas.microsoft.com/office/spreadsheetml/2009/9/main" uri="{725AE2AE-9491-48be-B2B4-4EB974FC3084}">
      <x14:pivotCacheDefinition pivotCacheId="838325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Q1"/>
    <x v="0"/>
    <n v="0"/>
    <n v="65"/>
    <n v="0"/>
  </r>
  <r>
    <x v="0"/>
    <s v="Q1"/>
    <x v="1"/>
    <n v="3"/>
    <n v="53"/>
    <n v="5.6603773584905662E-2"/>
  </r>
  <r>
    <x v="0"/>
    <s v="Q1"/>
    <x v="2"/>
    <n v="3"/>
    <n v="95"/>
    <n v="3.1578947368421054E-2"/>
  </r>
  <r>
    <x v="0"/>
    <s v="Q1"/>
    <x v="3"/>
    <n v="3"/>
    <n v="236"/>
    <n v="1.2711864406779662E-2"/>
  </r>
  <r>
    <x v="0"/>
    <s v="Q1"/>
    <x v="4"/>
    <n v="3"/>
    <n v="235"/>
    <n v="1.276595744680851E-2"/>
  </r>
  <r>
    <x v="0"/>
    <s v="Q1"/>
    <x v="5"/>
    <n v="3"/>
    <n v="105"/>
    <n v="2.8571428571428571E-2"/>
  </r>
  <r>
    <x v="1"/>
    <s v="Q1"/>
    <x v="0"/>
    <n v="0"/>
    <n v="312"/>
    <n v="0"/>
  </r>
  <r>
    <x v="1"/>
    <s v="Q1"/>
    <x v="1"/>
    <n v="0"/>
    <n v="376"/>
    <n v="0"/>
  </r>
  <r>
    <x v="1"/>
    <s v="Q1"/>
    <x v="2"/>
    <n v="3"/>
    <n v="393"/>
    <n v="7.6335877862595417E-3"/>
  </r>
  <r>
    <x v="1"/>
    <s v="Q1"/>
    <x v="3"/>
    <n v="2"/>
    <n v="171"/>
    <n v="1.1695906432748537E-2"/>
  </r>
  <r>
    <x v="1"/>
    <s v="Q1"/>
    <x v="4"/>
    <n v="4"/>
    <n v="299"/>
    <n v="1.3377926421404682E-2"/>
  </r>
  <r>
    <x v="1"/>
    <s v="Q1"/>
    <x v="5"/>
    <n v="2"/>
    <n v="279"/>
    <n v="7.1684587813620072E-3"/>
  </r>
  <r>
    <x v="2"/>
    <s v="Q1"/>
    <x v="0"/>
    <n v="4"/>
    <n v="218"/>
    <n v="1.834862385321101E-2"/>
  </r>
  <r>
    <x v="2"/>
    <s v="Q1"/>
    <x v="1"/>
    <n v="0"/>
    <n v="380"/>
    <n v="0"/>
  </r>
  <r>
    <x v="2"/>
    <s v="Q1"/>
    <x v="2"/>
    <n v="0"/>
    <n v="400"/>
    <n v="0"/>
  </r>
  <r>
    <x v="2"/>
    <s v="Q1"/>
    <x v="3"/>
    <n v="3"/>
    <n v="106"/>
    <n v="2.8301886792452831E-2"/>
  </r>
  <r>
    <x v="2"/>
    <s v="Q1"/>
    <x v="4"/>
    <n v="3"/>
    <n v="74"/>
    <n v="4.0540540540540543E-2"/>
  </r>
  <r>
    <x v="2"/>
    <s v="Q1"/>
    <x v="5"/>
    <n v="3"/>
    <n v="53"/>
    <n v="5.6603773584905662E-2"/>
  </r>
  <r>
    <x v="3"/>
    <s v="Q2"/>
    <x v="0"/>
    <n v="3"/>
    <n v="271"/>
    <n v="1.107011070110701E-2"/>
  </r>
  <r>
    <x v="3"/>
    <s v="Q2"/>
    <x v="1"/>
    <n v="4"/>
    <n v="130"/>
    <n v="3.0769230769230771E-2"/>
  </r>
  <r>
    <x v="3"/>
    <s v="Q2"/>
    <x v="2"/>
    <n v="2"/>
    <n v="130"/>
    <n v="1.5384615384615385E-2"/>
  </r>
  <r>
    <x v="3"/>
    <s v="Q2"/>
    <x v="3"/>
    <n v="3"/>
    <n v="69"/>
    <n v="4.3478260869565216E-2"/>
  </r>
  <r>
    <x v="3"/>
    <s v="Q2"/>
    <x v="4"/>
    <n v="3"/>
    <n v="166"/>
    <n v="1.8072289156626505E-2"/>
  </r>
  <r>
    <x v="3"/>
    <s v="Q2"/>
    <x v="5"/>
    <n v="3"/>
    <n v="150"/>
    <n v="0.02"/>
  </r>
  <r>
    <x v="4"/>
    <s v="Q2"/>
    <x v="0"/>
    <n v="2"/>
    <n v="50"/>
    <n v="0.04"/>
  </r>
  <r>
    <x v="4"/>
    <s v="Q2"/>
    <x v="1"/>
    <n v="0"/>
    <n v="158"/>
    <n v="0"/>
  </r>
  <r>
    <x v="4"/>
    <s v="Q2"/>
    <x v="2"/>
    <n v="4"/>
    <n v="219"/>
    <n v="1.8264840182648401E-2"/>
  </r>
  <r>
    <x v="4"/>
    <s v="Q2"/>
    <x v="3"/>
    <n v="4"/>
    <n v="163"/>
    <n v="2.4539877300613498E-2"/>
  </r>
  <r>
    <x v="4"/>
    <s v="Q2"/>
    <x v="4"/>
    <n v="4"/>
    <n v="227"/>
    <n v="1.7621145374449341E-2"/>
  </r>
  <r>
    <x v="4"/>
    <s v="Q2"/>
    <x v="5"/>
    <n v="4"/>
    <n v="203"/>
    <n v="1.9704433497536946E-2"/>
  </r>
  <r>
    <x v="5"/>
    <s v="Q2"/>
    <x v="0"/>
    <n v="4"/>
    <n v="138"/>
    <n v="2.8985507246376812E-2"/>
  </r>
  <r>
    <x v="5"/>
    <s v="Q2"/>
    <x v="1"/>
    <n v="2"/>
    <n v="60"/>
    <n v="3.3333333333333333E-2"/>
  </r>
  <r>
    <x v="5"/>
    <s v="Q2"/>
    <x v="2"/>
    <n v="0"/>
    <n v="296"/>
    <n v="0"/>
  </r>
  <r>
    <x v="5"/>
    <s v="Q2"/>
    <x v="3"/>
    <n v="3"/>
    <n v="345"/>
    <n v="8.6956521739130436E-3"/>
  </r>
  <r>
    <x v="5"/>
    <s v="Q2"/>
    <x v="4"/>
    <n v="0"/>
    <n v="388"/>
    <n v="0"/>
  </r>
  <r>
    <x v="5"/>
    <s v="Q2"/>
    <x v="5"/>
    <n v="2"/>
    <n v="149"/>
    <n v="1.3422818791946308E-2"/>
  </r>
  <r>
    <x v="6"/>
    <s v="Q3"/>
    <x v="0"/>
    <n v="1"/>
    <n v="352"/>
    <n v="2.840909090909091E-3"/>
  </r>
  <r>
    <x v="6"/>
    <s v="Q3"/>
    <x v="1"/>
    <n v="0"/>
    <n v="400"/>
    <n v="0"/>
  </r>
  <r>
    <x v="6"/>
    <s v="Q3"/>
    <x v="2"/>
    <n v="4"/>
    <n v="322"/>
    <n v="1.2422360248447204E-2"/>
  </r>
  <r>
    <x v="6"/>
    <s v="Q3"/>
    <x v="3"/>
    <n v="4"/>
    <n v="132"/>
    <n v="3.0303030303030304E-2"/>
  </r>
  <r>
    <x v="6"/>
    <s v="Q3"/>
    <x v="4"/>
    <n v="3"/>
    <n v="270"/>
    <n v="1.1111111111111112E-2"/>
  </r>
  <r>
    <x v="6"/>
    <s v="Q3"/>
    <x v="5"/>
    <n v="0"/>
    <n v="389"/>
    <n v="0"/>
  </r>
  <r>
    <x v="7"/>
    <s v="Q3"/>
    <x v="0"/>
    <n v="0"/>
    <n v="288"/>
    <n v="0"/>
  </r>
  <r>
    <x v="7"/>
    <s v="Q3"/>
    <x v="1"/>
    <n v="1"/>
    <n v="191"/>
    <n v="5.235602094240838E-3"/>
  </r>
  <r>
    <x v="7"/>
    <s v="Q3"/>
    <x v="2"/>
    <n v="3"/>
    <n v="226"/>
    <n v="1.3274336283185841E-2"/>
  </r>
  <r>
    <x v="7"/>
    <s v="Q3"/>
    <x v="3"/>
    <n v="4"/>
    <n v="263"/>
    <n v="1.5209125475285171E-2"/>
  </r>
  <r>
    <x v="7"/>
    <s v="Q3"/>
    <x v="4"/>
    <n v="0"/>
    <n v="188"/>
    <n v="0"/>
  </r>
  <r>
    <x v="7"/>
    <s v="Q3"/>
    <x v="5"/>
    <n v="3"/>
    <n v="273"/>
    <n v="1.098901098901099E-2"/>
  </r>
  <r>
    <x v="8"/>
    <s v="Q3"/>
    <x v="0"/>
    <n v="3"/>
    <n v="383"/>
    <n v="7.832898172323759E-3"/>
  </r>
  <r>
    <x v="8"/>
    <s v="Q3"/>
    <x v="1"/>
    <n v="2"/>
    <n v="319"/>
    <n v="6.269592476489028E-3"/>
  </r>
  <r>
    <x v="8"/>
    <s v="Q3"/>
    <x v="2"/>
    <n v="2"/>
    <n v="93"/>
    <n v="2.1505376344086023E-2"/>
  </r>
  <r>
    <x v="8"/>
    <s v="Q3"/>
    <x v="3"/>
    <n v="3"/>
    <n v="60"/>
    <n v="0.05"/>
  </r>
  <r>
    <x v="8"/>
    <s v="Q3"/>
    <x v="4"/>
    <n v="0"/>
    <n v="347"/>
    <n v="0"/>
  </r>
  <r>
    <x v="8"/>
    <s v="Q3"/>
    <x v="5"/>
    <n v="3"/>
    <n v="332"/>
    <n v="9.0361445783132526E-3"/>
  </r>
  <r>
    <x v="9"/>
    <s v="Q4"/>
    <x v="0"/>
    <n v="1"/>
    <n v="220"/>
    <n v="4.5454545454545452E-3"/>
  </r>
  <r>
    <x v="9"/>
    <s v="Q4"/>
    <x v="1"/>
    <n v="4"/>
    <n v="148"/>
    <n v="2.7027027027027029E-2"/>
  </r>
  <r>
    <x v="9"/>
    <s v="Q4"/>
    <x v="2"/>
    <n v="3"/>
    <n v="247"/>
    <n v="1.2145748987854251E-2"/>
  </r>
  <r>
    <x v="9"/>
    <s v="Q4"/>
    <x v="3"/>
    <n v="4"/>
    <n v="240"/>
    <n v="1.6666666666666666E-2"/>
  </r>
  <r>
    <x v="9"/>
    <s v="Q4"/>
    <x v="4"/>
    <n v="0"/>
    <n v="320"/>
    <n v="0"/>
  </r>
  <r>
    <x v="9"/>
    <s v="Q4"/>
    <x v="5"/>
    <n v="0"/>
    <n v="124"/>
    <n v="0"/>
  </r>
  <r>
    <x v="10"/>
    <s v="Q4"/>
    <x v="0"/>
    <n v="1"/>
    <n v="86"/>
    <n v="1.1627906976744186E-2"/>
  </r>
  <r>
    <x v="10"/>
    <s v="Q4"/>
    <x v="1"/>
    <n v="1"/>
    <n v="383"/>
    <n v="2.6109660574412533E-3"/>
  </r>
  <r>
    <x v="10"/>
    <s v="Q4"/>
    <x v="2"/>
    <n v="2"/>
    <n v="163"/>
    <n v="1.2269938650306749E-2"/>
  </r>
  <r>
    <x v="10"/>
    <s v="Q4"/>
    <x v="3"/>
    <n v="4"/>
    <n v="388"/>
    <n v="1.0309278350515464E-2"/>
  </r>
  <r>
    <x v="10"/>
    <s v="Q4"/>
    <x v="4"/>
    <n v="2"/>
    <n v="53"/>
    <n v="3.7735849056603772E-2"/>
  </r>
  <r>
    <x v="10"/>
    <s v="Q4"/>
    <x v="5"/>
    <n v="0"/>
    <n v="223"/>
    <n v="0"/>
  </r>
  <r>
    <x v="11"/>
    <s v="Q4"/>
    <x v="0"/>
    <n v="0"/>
    <n v="327"/>
    <n v="0"/>
  </r>
  <r>
    <x v="11"/>
    <s v="Q4"/>
    <x v="1"/>
    <n v="2"/>
    <n v="374"/>
    <n v="5.3475935828877002E-3"/>
  </r>
  <r>
    <x v="11"/>
    <s v="Q4"/>
    <x v="2"/>
    <n v="4"/>
    <n v="383"/>
    <n v="1.0443864229765013E-2"/>
  </r>
  <r>
    <x v="11"/>
    <s v="Q4"/>
    <x v="3"/>
    <n v="1"/>
    <n v="296"/>
    <n v="3.3783783783783786E-3"/>
  </r>
  <r>
    <x v="11"/>
    <s v="Q4"/>
    <x v="4"/>
    <n v="0"/>
    <n v="327"/>
    <n v="0"/>
  </r>
  <r>
    <x v="11"/>
    <s v="Q4"/>
    <x v="5"/>
    <n v="0"/>
    <n v="30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4FEC59-38C5-4B77-86A1-7904FE537A9D}"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2:C34" firstHeaderRow="0" firstDataRow="1" firstDataCol="1" rowPageCount="1" colPageCount="1"/>
  <pivotFields count="6">
    <pivotField axis="axisRow" showAll="0" defaultSubtotal="0">
      <items count="12">
        <item x="0"/>
        <item x="1"/>
        <item x="2"/>
        <item x="3"/>
        <item x="4"/>
        <item x="5"/>
        <item x="6"/>
        <item x="7"/>
        <item x="8"/>
        <item x="9"/>
        <item x="10"/>
        <item x="11"/>
      </items>
    </pivotField>
    <pivotField showAll="0" defaultSubtotal="0"/>
    <pivotField axis="axisPage" showAll="0" defaultSubtotal="0">
      <items count="6">
        <item x="0"/>
        <item x="2"/>
        <item x="4"/>
        <item x="5"/>
        <item x="1"/>
        <item x="3"/>
      </items>
    </pivotField>
    <pivotField showAll="0" defaultSubtotal="0"/>
    <pivotField showAll="0" defaultSubtotal="0"/>
    <pivotField dataField="1" numFmtId="1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pageFields count="1">
    <pageField fld="2" hier="-1"/>
  </pageFields>
  <dataFields count="2">
    <dataField name="Total Infection Rate" fld="5" baseField="0" baseItem="0" numFmtId="10"/>
    <dataField name="Variance" fld="5" showDataAs="difference" baseField="0" baseItem="1048828" numFmtId="10"/>
  </dataFields>
  <chartFormats count="13">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0" count="1" selected="0">
            <x v="4"/>
          </reference>
        </references>
      </pivotArea>
    </chartFormat>
    <chartFormat chart="8" format="7">
      <pivotArea type="data" outline="0" fieldPosition="0">
        <references count="2">
          <reference field="4294967294" count="1" selected="0">
            <x v="1"/>
          </reference>
          <reference field="0" count="1" selected="0">
            <x v="1"/>
          </reference>
        </references>
      </pivotArea>
    </chartFormat>
    <chartFormat chart="8" format="8">
      <pivotArea type="data" outline="0" fieldPosition="0">
        <references count="2">
          <reference field="4294967294" count="1" selected="0">
            <x v="1"/>
          </reference>
          <reference field="0" count="1" selected="0">
            <x v="2"/>
          </reference>
        </references>
      </pivotArea>
    </chartFormat>
    <chartFormat chart="8" format="9">
      <pivotArea type="data" outline="0" fieldPosition="0">
        <references count="2">
          <reference field="4294967294" count="1" selected="0">
            <x v="1"/>
          </reference>
          <reference field="0" count="1" selected="0">
            <x v="5"/>
          </reference>
        </references>
      </pivotArea>
    </chartFormat>
    <chartFormat chart="8" format="10">
      <pivotArea type="data" outline="0" fieldPosition="0">
        <references count="2">
          <reference field="4294967294" count="1" selected="0">
            <x v="1"/>
          </reference>
          <reference field="0" count="1" selected="0">
            <x v="6"/>
          </reference>
        </references>
      </pivotArea>
    </chartFormat>
    <chartFormat chart="8" format="11">
      <pivotArea type="data" outline="0" fieldPosition="0">
        <references count="2">
          <reference field="4294967294" count="1" selected="0">
            <x v="1"/>
          </reference>
          <reference field="0" count="1" selected="0">
            <x v="8"/>
          </reference>
        </references>
      </pivotArea>
    </chartFormat>
    <chartFormat chart="8" format="12">
      <pivotArea type="data" outline="0" fieldPosition="0">
        <references count="2">
          <reference field="4294967294" count="1" selected="0">
            <x v="1"/>
          </reference>
          <reference field="0" count="1" selected="0">
            <x v="9"/>
          </reference>
        </references>
      </pivotArea>
    </chartFormat>
    <chartFormat chart="8" format="13">
      <pivotArea type="data" outline="0" fieldPosition="0">
        <references count="2">
          <reference field="4294967294" count="1" selected="0">
            <x v="1"/>
          </reference>
          <reference field="0" count="1" selected="0">
            <x v="11"/>
          </reference>
        </references>
      </pivotArea>
    </chartFormat>
    <chartFormat chart="8" format="14">
      <pivotArea type="data" outline="0" fieldPosition="0">
        <references count="2">
          <reference field="4294967294" count="1" selected="0">
            <x v="1"/>
          </reference>
          <reference field="0" count="1" selected="0">
            <x v="10"/>
          </reference>
        </references>
      </pivotArea>
    </chartFormat>
    <chartFormat chart="8" format="15">
      <pivotArea type="data" outline="0" fieldPosition="0">
        <references count="2">
          <reference field="4294967294" count="1" selected="0">
            <x v="0"/>
          </reference>
          <reference field="0" count="1" selected="0">
            <x v="1"/>
          </reference>
        </references>
      </pivotArea>
    </chartFormat>
    <chartFormat chart="8" format="16">
      <pivotArea type="data" outline="0" fieldPosition="0">
        <references count="2">
          <reference field="4294967294" count="1" selected="0">
            <x v="1"/>
          </reference>
          <reference field="0"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1DE581-5F36-4D7D-A850-252CFDC9DDA2}" sourceName="Department">
  <pivotTables>
    <pivotTable tabId="4" name="PivotTable1"/>
  </pivotTables>
  <data>
    <tabular pivotCacheId="838325284">
      <items count="6">
        <i x="0" s="1"/>
        <i x="2" s="1"/>
        <i x="4" s="1"/>
        <i x="5"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95D9A47-43D8-4147-9441-13EB7B89579E}" sourceName="Quarter">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1CEC171-9C28-4762-9C66-E56A91CCE99E}" cache="Slicer_Department" caption="Department" style="SlicerStyleDark6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054AADE0-8A97-4625-A929-E0ED55DFA4B7}" cache="Slicer_Quarter" caption="Quarter" columnCount="4" style="SlicerStyleDark6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B0BBD8-1C45-42F3-8BE5-6E12587905EE}" name="Dataset" displayName="Dataset" ref="A1:F73" totalsRowShown="0">
  <autoFilter ref="A1:F73" xr:uid="{1AB0BBD8-1C45-42F3-8BE5-6E12587905EE}"/>
  <tableColumns count="6">
    <tableColumn id="1" xr3:uid="{D4FE3E2D-D239-46D6-885C-9B2E372CB60E}" name="Month"/>
    <tableColumn id="2" xr3:uid="{6486EC60-F826-410D-BE6D-236D82FBB9C6}" name="Quarter"/>
    <tableColumn id="3" xr3:uid="{470DE3B9-41E2-49BA-945C-19FF65EE5317}" name="Department"/>
    <tableColumn id="4" xr3:uid="{775E122F-8CFF-4A5B-BD07-4C5CBB2A4761}" name="Infection Observed"/>
    <tableColumn id="5" xr3:uid="{7E806634-9FC0-4E85-A4D1-67CA856DF414}" name="Denominator"/>
    <tableColumn id="6" xr3:uid="{46458A2B-4142-4AE8-8978-7F6FD578624C}" name="Infection Rate" dataDxfId="10" dataCellStyle="Percent">
      <calculatedColumnFormula>(D2/E2)*1</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326E18-266A-4A2C-BC04-5ADBEDFA2B05}" name="Table2" displayName="Table2" ref="A4:F16" totalsRowShown="0" headerRowDxfId="9" dataDxfId="8">
  <autoFilter ref="A4:F16" xr:uid="{75326E18-266A-4A2C-BC04-5ADBEDFA2B05}">
    <filterColumn colId="0" hiddenButton="1"/>
    <filterColumn colId="1" hiddenButton="1"/>
    <filterColumn colId="2" hiddenButton="1"/>
    <filterColumn colId="3" hiddenButton="1"/>
    <filterColumn colId="4" hiddenButton="1"/>
    <filterColumn colId="5" hiddenButton="1"/>
  </autoFilter>
  <tableColumns count="6">
    <tableColumn id="1" xr3:uid="{3BF54E21-E751-4461-957B-CF8E1C6369BF}" name="Month" dataDxfId="7"/>
    <tableColumn id="6" xr3:uid="{78918D41-4C81-480C-8762-3F1CE496C1B6}" name="Quarter" dataDxfId="6">
      <calculatedColumnFormula>VLOOKUP(Table2[[#This Row],[Month]], Dataset[], 2,FALSE)</calculatedColumnFormula>
    </tableColumn>
    <tableColumn id="2" xr3:uid="{FC215209-DE64-4F3B-901B-D28BB268EF01}" name="Infection Rate" dataDxfId="5" dataCellStyle="Percent">
      <calculatedColumnFormula>SUMIF(Month, A5, Infection_Rate)</calculatedColumnFormula>
    </tableColumn>
    <tableColumn id="3" xr3:uid="{68E765A9-786F-49E4-952A-52E10F1322EF}" name="Mean" dataDxfId="4">
      <calculatedColumnFormula>AVERAGE($C$5:$C$16)</calculatedColumnFormula>
    </tableColumn>
    <tableColumn id="4" xr3:uid="{DC64CDBA-7D67-4EEA-A61D-8544FF8F1CFE}" name="UCL" dataDxfId="3">
      <calculatedColumnFormula>D5+3*_xlfn.STDEV.S($C$5:$C$16)</calculatedColumnFormula>
    </tableColumn>
    <tableColumn id="5" xr3:uid="{AEE53BAD-283D-4BE3-9C22-DB07CFB86699}" name="LCL" dataDxfId="2">
      <calculatedColumnFormula>ABS(D5-3*_xlfn.STDEV.S($C$5:$C$16))</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
  <sheetViews>
    <sheetView topLeftCell="A2" workbookViewId="0">
      <selection activeCell="D7" sqref="D7"/>
    </sheetView>
  </sheetViews>
  <sheetFormatPr defaultRowHeight="14.4" x14ac:dyDescent="0.3"/>
  <cols>
    <col min="1" max="1" width="9.77734375" bestFit="1" customWidth="1"/>
    <col min="2" max="2" width="9.33203125" customWidth="1"/>
    <col min="3" max="3" width="13" customWidth="1"/>
    <col min="4" max="4" width="18.88671875" customWidth="1"/>
    <col min="5" max="5" width="14" customWidth="1"/>
    <col min="6" max="6" width="14.6640625" customWidth="1"/>
  </cols>
  <sheetData>
    <row r="1" spans="1:6" x14ac:dyDescent="0.3">
      <c r="A1" t="s">
        <v>0</v>
      </c>
      <c r="B1" t="s">
        <v>1</v>
      </c>
      <c r="C1" t="s">
        <v>2</v>
      </c>
      <c r="D1" t="s">
        <v>3</v>
      </c>
      <c r="E1" t="s">
        <v>4</v>
      </c>
      <c r="F1" t="s">
        <v>27</v>
      </c>
    </row>
    <row r="2" spans="1:6" x14ac:dyDescent="0.3">
      <c r="A2" t="s">
        <v>5</v>
      </c>
      <c r="B2" t="s">
        <v>17</v>
      </c>
      <c r="C2" t="s">
        <v>21</v>
      </c>
      <c r="D2">
        <v>0</v>
      </c>
      <c r="E2">
        <v>65</v>
      </c>
      <c r="F2" s="1">
        <f>(D2/E2)*100</f>
        <v>0</v>
      </c>
    </row>
    <row r="3" spans="1:6" x14ac:dyDescent="0.3">
      <c r="A3" t="s">
        <v>5</v>
      </c>
      <c r="B3" t="s">
        <v>17</v>
      </c>
      <c r="C3" t="s">
        <v>22</v>
      </c>
      <c r="D3">
        <v>3</v>
      </c>
      <c r="E3">
        <v>53</v>
      </c>
      <c r="F3" s="1">
        <f t="shared" ref="F3:F66" si="0">(D3/E3)*1</f>
        <v>5.6603773584905662E-2</v>
      </c>
    </row>
    <row r="4" spans="1:6" x14ac:dyDescent="0.3">
      <c r="A4" t="s">
        <v>5</v>
      </c>
      <c r="B4" t="s">
        <v>17</v>
      </c>
      <c r="C4" t="s">
        <v>23</v>
      </c>
      <c r="D4">
        <v>3</v>
      </c>
      <c r="E4">
        <v>95</v>
      </c>
      <c r="F4" s="1">
        <f t="shared" si="0"/>
        <v>3.1578947368421054E-2</v>
      </c>
    </row>
    <row r="5" spans="1:6" x14ac:dyDescent="0.3">
      <c r="A5" t="s">
        <v>5</v>
      </c>
      <c r="B5" t="s">
        <v>17</v>
      </c>
      <c r="C5" t="s">
        <v>24</v>
      </c>
      <c r="D5">
        <v>3</v>
      </c>
      <c r="E5">
        <v>236</v>
      </c>
      <c r="F5" s="1">
        <f t="shared" si="0"/>
        <v>1.2711864406779662E-2</v>
      </c>
    </row>
    <row r="6" spans="1:6" x14ac:dyDescent="0.3">
      <c r="A6" t="s">
        <v>5</v>
      </c>
      <c r="B6" t="s">
        <v>17</v>
      </c>
      <c r="C6" t="s">
        <v>25</v>
      </c>
      <c r="D6">
        <v>3</v>
      </c>
      <c r="E6">
        <v>235</v>
      </c>
      <c r="F6" s="1">
        <f t="shared" si="0"/>
        <v>1.276595744680851E-2</v>
      </c>
    </row>
    <row r="7" spans="1:6" x14ac:dyDescent="0.3">
      <c r="A7" t="s">
        <v>5</v>
      </c>
      <c r="B7" t="s">
        <v>17</v>
      </c>
      <c r="C7" t="s">
        <v>26</v>
      </c>
      <c r="D7">
        <v>3</v>
      </c>
      <c r="E7">
        <v>105</v>
      </c>
      <c r="F7" s="1">
        <f t="shared" si="0"/>
        <v>2.8571428571428571E-2</v>
      </c>
    </row>
    <row r="8" spans="1:6" x14ac:dyDescent="0.3">
      <c r="A8" t="s">
        <v>6</v>
      </c>
      <c r="B8" t="s">
        <v>17</v>
      </c>
      <c r="C8" t="s">
        <v>21</v>
      </c>
      <c r="D8">
        <v>0</v>
      </c>
      <c r="E8">
        <v>312</v>
      </c>
      <c r="F8" s="1">
        <f t="shared" si="0"/>
        <v>0</v>
      </c>
    </row>
    <row r="9" spans="1:6" x14ac:dyDescent="0.3">
      <c r="A9" t="s">
        <v>6</v>
      </c>
      <c r="B9" t="s">
        <v>17</v>
      </c>
      <c r="C9" t="s">
        <v>22</v>
      </c>
      <c r="D9">
        <v>0</v>
      </c>
      <c r="E9">
        <v>376</v>
      </c>
      <c r="F9" s="1">
        <f t="shared" si="0"/>
        <v>0</v>
      </c>
    </row>
    <row r="10" spans="1:6" x14ac:dyDescent="0.3">
      <c r="A10" t="s">
        <v>6</v>
      </c>
      <c r="B10" t="s">
        <v>17</v>
      </c>
      <c r="C10" t="s">
        <v>23</v>
      </c>
      <c r="D10">
        <v>3</v>
      </c>
      <c r="E10">
        <v>393</v>
      </c>
      <c r="F10" s="1">
        <f t="shared" si="0"/>
        <v>7.6335877862595417E-3</v>
      </c>
    </row>
    <row r="11" spans="1:6" x14ac:dyDescent="0.3">
      <c r="A11" t="s">
        <v>6</v>
      </c>
      <c r="B11" t="s">
        <v>17</v>
      </c>
      <c r="C11" t="s">
        <v>24</v>
      </c>
      <c r="D11">
        <v>2</v>
      </c>
      <c r="E11">
        <v>171</v>
      </c>
      <c r="F11" s="1">
        <f t="shared" si="0"/>
        <v>1.1695906432748537E-2</v>
      </c>
    </row>
    <row r="12" spans="1:6" x14ac:dyDescent="0.3">
      <c r="A12" t="s">
        <v>6</v>
      </c>
      <c r="B12" t="s">
        <v>17</v>
      </c>
      <c r="C12" t="s">
        <v>25</v>
      </c>
      <c r="D12">
        <v>4</v>
      </c>
      <c r="E12">
        <v>299</v>
      </c>
      <c r="F12" s="1">
        <f t="shared" si="0"/>
        <v>1.3377926421404682E-2</v>
      </c>
    </row>
    <row r="13" spans="1:6" x14ac:dyDescent="0.3">
      <c r="A13" t="s">
        <v>6</v>
      </c>
      <c r="B13" t="s">
        <v>17</v>
      </c>
      <c r="C13" t="s">
        <v>26</v>
      </c>
      <c r="D13">
        <v>2</v>
      </c>
      <c r="E13">
        <v>279</v>
      </c>
      <c r="F13" s="1">
        <f t="shared" si="0"/>
        <v>7.1684587813620072E-3</v>
      </c>
    </row>
    <row r="14" spans="1:6" x14ac:dyDescent="0.3">
      <c r="A14" t="s">
        <v>7</v>
      </c>
      <c r="B14" t="s">
        <v>17</v>
      </c>
      <c r="C14" t="s">
        <v>21</v>
      </c>
      <c r="D14">
        <v>4</v>
      </c>
      <c r="E14">
        <v>218</v>
      </c>
      <c r="F14" s="1">
        <f t="shared" si="0"/>
        <v>1.834862385321101E-2</v>
      </c>
    </row>
    <row r="15" spans="1:6" x14ac:dyDescent="0.3">
      <c r="A15" t="s">
        <v>7</v>
      </c>
      <c r="B15" t="s">
        <v>17</v>
      </c>
      <c r="C15" t="s">
        <v>22</v>
      </c>
      <c r="D15">
        <v>0</v>
      </c>
      <c r="E15">
        <v>380</v>
      </c>
      <c r="F15" s="1">
        <f t="shared" si="0"/>
        <v>0</v>
      </c>
    </row>
    <row r="16" spans="1:6" x14ac:dyDescent="0.3">
      <c r="A16" t="s">
        <v>7</v>
      </c>
      <c r="B16" t="s">
        <v>17</v>
      </c>
      <c r="C16" t="s">
        <v>23</v>
      </c>
      <c r="D16">
        <v>0</v>
      </c>
      <c r="E16">
        <v>400</v>
      </c>
      <c r="F16" s="1">
        <f t="shared" si="0"/>
        <v>0</v>
      </c>
    </row>
    <row r="17" spans="1:6" x14ac:dyDescent="0.3">
      <c r="A17" t="s">
        <v>7</v>
      </c>
      <c r="B17" t="s">
        <v>17</v>
      </c>
      <c r="C17" t="s">
        <v>24</v>
      </c>
      <c r="D17">
        <v>3</v>
      </c>
      <c r="E17">
        <v>106</v>
      </c>
      <c r="F17" s="1">
        <f t="shared" si="0"/>
        <v>2.8301886792452831E-2</v>
      </c>
    </row>
    <row r="18" spans="1:6" x14ac:dyDescent="0.3">
      <c r="A18" t="s">
        <v>7</v>
      </c>
      <c r="B18" t="s">
        <v>17</v>
      </c>
      <c r="C18" t="s">
        <v>25</v>
      </c>
      <c r="D18">
        <v>3</v>
      </c>
      <c r="E18">
        <v>74</v>
      </c>
      <c r="F18" s="1">
        <f t="shared" si="0"/>
        <v>4.0540540540540543E-2</v>
      </c>
    </row>
    <row r="19" spans="1:6" x14ac:dyDescent="0.3">
      <c r="A19" t="s">
        <v>7</v>
      </c>
      <c r="B19" t="s">
        <v>17</v>
      </c>
      <c r="C19" t="s">
        <v>26</v>
      </c>
      <c r="D19">
        <v>3</v>
      </c>
      <c r="E19">
        <v>53</v>
      </c>
      <c r="F19" s="1">
        <f t="shared" si="0"/>
        <v>5.6603773584905662E-2</v>
      </c>
    </row>
    <row r="20" spans="1:6" x14ac:dyDescent="0.3">
      <c r="A20" t="s">
        <v>8</v>
      </c>
      <c r="B20" t="s">
        <v>18</v>
      </c>
      <c r="C20" t="s">
        <v>21</v>
      </c>
      <c r="D20">
        <v>3</v>
      </c>
      <c r="E20">
        <v>271</v>
      </c>
      <c r="F20" s="1">
        <f t="shared" si="0"/>
        <v>1.107011070110701E-2</v>
      </c>
    </row>
    <row r="21" spans="1:6" x14ac:dyDescent="0.3">
      <c r="A21" t="s">
        <v>8</v>
      </c>
      <c r="B21" t="s">
        <v>18</v>
      </c>
      <c r="C21" t="s">
        <v>22</v>
      </c>
      <c r="D21">
        <v>4</v>
      </c>
      <c r="E21">
        <v>130</v>
      </c>
      <c r="F21" s="1">
        <f t="shared" si="0"/>
        <v>3.0769230769230771E-2</v>
      </c>
    </row>
    <row r="22" spans="1:6" x14ac:dyDescent="0.3">
      <c r="A22" t="s">
        <v>8</v>
      </c>
      <c r="B22" t="s">
        <v>18</v>
      </c>
      <c r="C22" t="s">
        <v>23</v>
      </c>
      <c r="D22">
        <v>2</v>
      </c>
      <c r="E22">
        <v>130</v>
      </c>
      <c r="F22" s="1">
        <f t="shared" si="0"/>
        <v>1.5384615384615385E-2</v>
      </c>
    </row>
    <row r="23" spans="1:6" x14ac:dyDescent="0.3">
      <c r="A23" t="s">
        <v>8</v>
      </c>
      <c r="B23" t="s">
        <v>18</v>
      </c>
      <c r="C23" t="s">
        <v>24</v>
      </c>
      <c r="D23">
        <v>3</v>
      </c>
      <c r="E23">
        <v>69</v>
      </c>
      <c r="F23" s="1">
        <f t="shared" si="0"/>
        <v>4.3478260869565216E-2</v>
      </c>
    </row>
    <row r="24" spans="1:6" x14ac:dyDescent="0.3">
      <c r="A24" t="s">
        <v>8</v>
      </c>
      <c r="B24" t="s">
        <v>18</v>
      </c>
      <c r="C24" t="s">
        <v>25</v>
      </c>
      <c r="D24">
        <v>3</v>
      </c>
      <c r="E24">
        <v>166</v>
      </c>
      <c r="F24" s="1">
        <f t="shared" si="0"/>
        <v>1.8072289156626505E-2</v>
      </c>
    </row>
    <row r="25" spans="1:6" x14ac:dyDescent="0.3">
      <c r="A25" t="s">
        <v>8</v>
      </c>
      <c r="B25" t="s">
        <v>18</v>
      </c>
      <c r="C25" t="s">
        <v>26</v>
      </c>
      <c r="D25">
        <v>3</v>
      </c>
      <c r="E25">
        <v>150</v>
      </c>
      <c r="F25" s="1">
        <f t="shared" si="0"/>
        <v>0.02</v>
      </c>
    </row>
    <row r="26" spans="1:6" x14ac:dyDescent="0.3">
      <c r="A26" t="s">
        <v>9</v>
      </c>
      <c r="B26" t="s">
        <v>18</v>
      </c>
      <c r="C26" t="s">
        <v>21</v>
      </c>
      <c r="D26">
        <v>2</v>
      </c>
      <c r="E26">
        <v>50</v>
      </c>
      <c r="F26" s="1">
        <f t="shared" si="0"/>
        <v>0.04</v>
      </c>
    </row>
    <row r="27" spans="1:6" x14ac:dyDescent="0.3">
      <c r="A27" t="s">
        <v>9</v>
      </c>
      <c r="B27" t="s">
        <v>18</v>
      </c>
      <c r="C27" t="s">
        <v>22</v>
      </c>
      <c r="D27">
        <v>0</v>
      </c>
      <c r="E27">
        <v>158</v>
      </c>
      <c r="F27" s="1">
        <f t="shared" si="0"/>
        <v>0</v>
      </c>
    </row>
    <row r="28" spans="1:6" x14ac:dyDescent="0.3">
      <c r="A28" t="s">
        <v>9</v>
      </c>
      <c r="B28" t="s">
        <v>18</v>
      </c>
      <c r="C28" t="s">
        <v>23</v>
      </c>
      <c r="D28">
        <v>4</v>
      </c>
      <c r="E28">
        <v>219</v>
      </c>
      <c r="F28" s="1">
        <f t="shared" si="0"/>
        <v>1.8264840182648401E-2</v>
      </c>
    </row>
    <row r="29" spans="1:6" x14ac:dyDescent="0.3">
      <c r="A29" t="s">
        <v>9</v>
      </c>
      <c r="B29" t="s">
        <v>18</v>
      </c>
      <c r="C29" t="s">
        <v>24</v>
      </c>
      <c r="D29">
        <v>4</v>
      </c>
      <c r="E29">
        <v>163</v>
      </c>
      <c r="F29" s="1">
        <f t="shared" si="0"/>
        <v>2.4539877300613498E-2</v>
      </c>
    </row>
    <row r="30" spans="1:6" x14ac:dyDescent="0.3">
      <c r="A30" t="s">
        <v>9</v>
      </c>
      <c r="B30" t="s">
        <v>18</v>
      </c>
      <c r="C30" t="s">
        <v>25</v>
      </c>
      <c r="D30">
        <v>4</v>
      </c>
      <c r="E30">
        <v>227</v>
      </c>
      <c r="F30" s="1">
        <f t="shared" si="0"/>
        <v>1.7621145374449341E-2</v>
      </c>
    </row>
    <row r="31" spans="1:6" x14ac:dyDescent="0.3">
      <c r="A31" t="s">
        <v>9</v>
      </c>
      <c r="B31" t="s">
        <v>18</v>
      </c>
      <c r="C31" t="s">
        <v>26</v>
      </c>
      <c r="D31">
        <v>4</v>
      </c>
      <c r="E31">
        <v>203</v>
      </c>
      <c r="F31" s="1">
        <f t="shared" si="0"/>
        <v>1.9704433497536946E-2</v>
      </c>
    </row>
    <row r="32" spans="1:6" x14ac:dyDescent="0.3">
      <c r="A32" t="s">
        <v>10</v>
      </c>
      <c r="B32" t="s">
        <v>18</v>
      </c>
      <c r="C32" t="s">
        <v>21</v>
      </c>
      <c r="D32">
        <v>4</v>
      </c>
      <c r="E32">
        <v>138</v>
      </c>
      <c r="F32" s="1">
        <f t="shared" si="0"/>
        <v>2.8985507246376812E-2</v>
      </c>
    </row>
    <row r="33" spans="1:6" x14ac:dyDescent="0.3">
      <c r="A33" t="s">
        <v>10</v>
      </c>
      <c r="B33" t="s">
        <v>18</v>
      </c>
      <c r="C33" t="s">
        <v>22</v>
      </c>
      <c r="D33">
        <v>2</v>
      </c>
      <c r="E33">
        <v>60</v>
      </c>
      <c r="F33" s="1">
        <f t="shared" si="0"/>
        <v>3.3333333333333333E-2</v>
      </c>
    </row>
    <row r="34" spans="1:6" x14ac:dyDescent="0.3">
      <c r="A34" t="s">
        <v>10</v>
      </c>
      <c r="B34" t="s">
        <v>18</v>
      </c>
      <c r="C34" t="s">
        <v>23</v>
      </c>
      <c r="D34">
        <v>0</v>
      </c>
      <c r="E34">
        <v>296</v>
      </c>
      <c r="F34" s="1">
        <f t="shared" si="0"/>
        <v>0</v>
      </c>
    </row>
    <row r="35" spans="1:6" x14ac:dyDescent="0.3">
      <c r="A35" t="s">
        <v>10</v>
      </c>
      <c r="B35" t="s">
        <v>18</v>
      </c>
      <c r="C35" t="s">
        <v>24</v>
      </c>
      <c r="D35">
        <v>3</v>
      </c>
      <c r="E35">
        <v>345</v>
      </c>
      <c r="F35" s="1">
        <f t="shared" si="0"/>
        <v>8.6956521739130436E-3</v>
      </c>
    </row>
    <row r="36" spans="1:6" x14ac:dyDescent="0.3">
      <c r="A36" t="s">
        <v>10</v>
      </c>
      <c r="B36" t="s">
        <v>18</v>
      </c>
      <c r="C36" t="s">
        <v>25</v>
      </c>
      <c r="D36">
        <v>0</v>
      </c>
      <c r="E36">
        <v>388</v>
      </c>
      <c r="F36" s="1">
        <f t="shared" si="0"/>
        <v>0</v>
      </c>
    </row>
    <row r="37" spans="1:6" x14ac:dyDescent="0.3">
      <c r="A37" t="s">
        <v>10</v>
      </c>
      <c r="B37" t="s">
        <v>18</v>
      </c>
      <c r="C37" t="s">
        <v>26</v>
      </c>
      <c r="D37">
        <v>2</v>
      </c>
      <c r="E37">
        <v>149</v>
      </c>
      <c r="F37" s="1">
        <f t="shared" si="0"/>
        <v>1.3422818791946308E-2</v>
      </c>
    </row>
    <row r="38" spans="1:6" x14ac:dyDescent="0.3">
      <c r="A38" t="s">
        <v>11</v>
      </c>
      <c r="B38" t="s">
        <v>19</v>
      </c>
      <c r="C38" t="s">
        <v>21</v>
      </c>
      <c r="D38">
        <v>1</v>
      </c>
      <c r="E38">
        <v>352</v>
      </c>
      <c r="F38" s="1">
        <f t="shared" si="0"/>
        <v>2.840909090909091E-3</v>
      </c>
    </row>
    <row r="39" spans="1:6" x14ac:dyDescent="0.3">
      <c r="A39" t="s">
        <v>11</v>
      </c>
      <c r="B39" t="s">
        <v>19</v>
      </c>
      <c r="C39" t="s">
        <v>22</v>
      </c>
      <c r="D39">
        <v>0</v>
      </c>
      <c r="E39">
        <v>400</v>
      </c>
      <c r="F39" s="1">
        <f t="shared" si="0"/>
        <v>0</v>
      </c>
    </row>
    <row r="40" spans="1:6" x14ac:dyDescent="0.3">
      <c r="A40" t="s">
        <v>11</v>
      </c>
      <c r="B40" t="s">
        <v>19</v>
      </c>
      <c r="C40" t="s">
        <v>23</v>
      </c>
      <c r="D40">
        <v>4</v>
      </c>
      <c r="E40">
        <v>322</v>
      </c>
      <c r="F40" s="1">
        <f t="shared" si="0"/>
        <v>1.2422360248447204E-2</v>
      </c>
    </row>
    <row r="41" spans="1:6" x14ac:dyDescent="0.3">
      <c r="A41" t="s">
        <v>11</v>
      </c>
      <c r="B41" t="s">
        <v>19</v>
      </c>
      <c r="C41" t="s">
        <v>24</v>
      </c>
      <c r="D41">
        <v>4</v>
      </c>
      <c r="E41">
        <v>132</v>
      </c>
      <c r="F41" s="1">
        <f t="shared" si="0"/>
        <v>3.0303030303030304E-2</v>
      </c>
    </row>
    <row r="42" spans="1:6" x14ac:dyDescent="0.3">
      <c r="A42" t="s">
        <v>11</v>
      </c>
      <c r="B42" t="s">
        <v>19</v>
      </c>
      <c r="C42" t="s">
        <v>25</v>
      </c>
      <c r="D42">
        <v>3</v>
      </c>
      <c r="E42">
        <v>270</v>
      </c>
      <c r="F42" s="1">
        <f t="shared" si="0"/>
        <v>1.1111111111111112E-2</v>
      </c>
    </row>
    <row r="43" spans="1:6" x14ac:dyDescent="0.3">
      <c r="A43" t="s">
        <v>11</v>
      </c>
      <c r="B43" t="s">
        <v>19</v>
      </c>
      <c r="C43" t="s">
        <v>26</v>
      </c>
      <c r="D43">
        <v>0</v>
      </c>
      <c r="E43">
        <v>389</v>
      </c>
      <c r="F43" s="1">
        <f t="shared" si="0"/>
        <v>0</v>
      </c>
    </row>
    <row r="44" spans="1:6" x14ac:dyDescent="0.3">
      <c r="A44" t="s">
        <v>12</v>
      </c>
      <c r="B44" t="s">
        <v>19</v>
      </c>
      <c r="C44" t="s">
        <v>21</v>
      </c>
      <c r="D44">
        <v>0</v>
      </c>
      <c r="E44">
        <v>288</v>
      </c>
      <c r="F44" s="1">
        <f t="shared" si="0"/>
        <v>0</v>
      </c>
    </row>
    <row r="45" spans="1:6" x14ac:dyDescent="0.3">
      <c r="A45" t="s">
        <v>12</v>
      </c>
      <c r="B45" t="s">
        <v>19</v>
      </c>
      <c r="C45" t="s">
        <v>22</v>
      </c>
      <c r="D45">
        <v>1</v>
      </c>
      <c r="E45">
        <v>191</v>
      </c>
      <c r="F45" s="1">
        <f t="shared" si="0"/>
        <v>5.235602094240838E-3</v>
      </c>
    </row>
    <row r="46" spans="1:6" x14ac:dyDescent="0.3">
      <c r="A46" t="s">
        <v>12</v>
      </c>
      <c r="B46" t="s">
        <v>19</v>
      </c>
      <c r="C46" t="s">
        <v>23</v>
      </c>
      <c r="D46">
        <v>3</v>
      </c>
      <c r="E46">
        <v>226</v>
      </c>
      <c r="F46" s="1">
        <f t="shared" si="0"/>
        <v>1.3274336283185841E-2</v>
      </c>
    </row>
    <row r="47" spans="1:6" x14ac:dyDescent="0.3">
      <c r="A47" t="s">
        <v>12</v>
      </c>
      <c r="B47" t="s">
        <v>19</v>
      </c>
      <c r="C47" t="s">
        <v>24</v>
      </c>
      <c r="D47">
        <v>4</v>
      </c>
      <c r="E47">
        <v>263</v>
      </c>
      <c r="F47" s="1">
        <f t="shared" si="0"/>
        <v>1.5209125475285171E-2</v>
      </c>
    </row>
    <row r="48" spans="1:6" x14ac:dyDescent="0.3">
      <c r="A48" t="s">
        <v>12</v>
      </c>
      <c r="B48" t="s">
        <v>19</v>
      </c>
      <c r="C48" t="s">
        <v>25</v>
      </c>
      <c r="D48">
        <v>0</v>
      </c>
      <c r="E48">
        <v>188</v>
      </c>
      <c r="F48" s="1">
        <f t="shared" si="0"/>
        <v>0</v>
      </c>
    </row>
    <row r="49" spans="1:6" x14ac:dyDescent="0.3">
      <c r="A49" t="s">
        <v>12</v>
      </c>
      <c r="B49" t="s">
        <v>19</v>
      </c>
      <c r="C49" t="s">
        <v>26</v>
      </c>
      <c r="D49">
        <v>3</v>
      </c>
      <c r="E49">
        <v>273</v>
      </c>
      <c r="F49" s="1">
        <f t="shared" si="0"/>
        <v>1.098901098901099E-2</v>
      </c>
    </row>
    <row r="50" spans="1:6" x14ac:dyDescent="0.3">
      <c r="A50" t="s">
        <v>13</v>
      </c>
      <c r="B50" t="s">
        <v>19</v>
      </c>
      <c r="C50" t="s">
        <v>21</v>
      </c>
      <c r="D50">
        <v>3</v>
      </c>
      <c r="E50">
        <v>383</v>
      </c>
      <c r="F50" s="1">
        <f t="shared" si="0"/>
        <v>7.832898172323759E-3</v>
      </c>
    </row>
    <row r="51" spans="1:6" x14ac:dyDescent="0.3">
      <c r="A51" t="s">
        <v>13</v>
      </c>
      <c r="B51" t="s">
        <v>19</v>
      </c>
      <c r="C51" t="s">
        <v>22</v>
      </c>
      <c r="D51">
        <v>2</v>
      </c>
      <c r="E51">
        <v>319</v>
      </c>
      <c r="F51" s="1">
        <f t="shared" si="0"/>
        <v>6.269592476489028E-3</v>
      </c>
    </row>
    <row r="52" spans="1:6" x14ac:dyDescent="0.3">
      <c r="A52" t="s">
        <v>13</v>
      </c>
      <c r="B52" t="s">
        <v>19</v>
      </c>
      <c r="C52" t="s">
        <v>23</v>
      </c>
      <c r="D52">
        <v>2</v>
      </c>
      <c r="E52">
        <v>93</v>
      </c>
      <c r="F52" s="1">
        <f t="shared" si="0"/>
        <v>2.1505376344086023E-2</v>
      </c>
    </row>
    <row r="53" spans="1:6" x14ac:dyDescent="0.3">
      <c r="A53" t="s">
        <v>13</v>
      </c>
      <c r="B53" t="s">
        <v>19</v>
      </c>
      <c r="C53" t="s">
        <v>24</v>
      </c>
      <c r="D53">
        <v>3</v>
      </c>
      <c r="E53">
        <v>60</v>
      </c>
      <c r="F53" s="1">
        <f t="shared" si="0"/>
        <v>0.05</v>
      </c>
    </row>
    <row r="54" spans="1:6" x14ac:dyDescent="0.3">
      <c r="A54" t="s">
        <v>13</v>
      </c>
      <c r="B54" t="s">
        <v>19</v>
      </c>
      <c r="C54" t="s">
        <v>25</v>
      </c>
      <c r="D54">
        <v>0</v>
      </c>
      <c r="E54">
        <v>347</v>
      </c>
      <c r="F54" s="1">
        <f t="shared" si="0"/>
        <v>0</v>
      </c>
    </row>
    <row r="55" spans="1:6" x14ac:dyDescent="0.3">
      <c r="A55" t="s">
        <v>13</v>
      </c>
      <c r="B55" t="s">
        <v>19</v>
      </c>
      <c r="C55" t="s">
        <v>26</v>
      </c>
      <c r="D55">
        <v>3</v>
      </c>
      <c r="E55">
        <v>332</v>
      </c>
      <c r="F55" s="1">
        <f t="shared" si="0"/>
        <v>9.0361445783132526E-3</v>
      </c>
    </row>
    <row r="56" spans="1:6" x14ac:dyDescent="0.3">
      <c r="A56" t="s">
        <v>14</v>
      </c>
      <c r="B56" t="s">
        <v>20</v>
      </c>
      <c r="C56" t="s">
        <v>21</v>
      </c>
      <c r="D56">
        <v>1</v>
      </c>
      <c r="E56">
        <v>220</v>
      </c>
      <c r="F56" s="1">
        <f t="shared" si="0"/>
        <v>4.5454545454545452E-3</v>
      </c>
    </row>
    <row r="57" spans="1:6" x14ac:dyDescent="0.3">
      <c r="A57" t="s">
        <v>14</v>
      </c>
      <c r="B57" t="s">
        <v>20</v>
      </c>
      <c r="C57" t="s">
        <v>22</v>
      </c>
      <c r="D57">
        <v>4</v>
      </c>
      <c r="E57">
        <v>148</v>
      </c>
      <c r="F57" s="1">
        <f t="shared" si="0"/>
        <v>2.7027027027027029E-2</v>
      </c>
    </row>
    <row r="58" spans="1:6" x14ac:dyDescent="0.3">
      <c r="A58" t="s">
        <v>14</v>
      </c>
      <c r="B58" t="s">
        <v>20</v>
      </c>
      <c r="C58" t="s">
        <v>23</v>
      </c>
      <c r="D58">
        <v>3</v>
      </c>
      <c r="E58">
        <v>247</v>
      </c>
      <c r="F58" s="1">
        <f t="shared" si="0"/>
        <v>1.2145748987854251E-2</v>
      </c>
    </row>
    <row r="59" spans="1:6" x14ac:dyDescent="0.3">
      <c r="A59" t="s">
        <v>14</v>
      </c>
      <c r="B59" t="s">
        <v>20</v>
      </c>
      <c r="C59" t="s">
        <v>24</v>
      </c>
      <c r="D59">
        <v>4</v>
      </c>
      <c r="E59">
        <v>240</v>
      </c>
      <c r="F59" s="1">
        <f t="shared" si="0"/>
        <v>1.6666666666666666E-2</v>
      </c>
    </row>
    <row r="60" spans="1:6" x14ac:dyDescent="0.3">
      <c r="A60" t="s">
        <v>14</v>
      </c>
      <c r="B60" t="s">
        <v>20</v>
      </c>
      <c r="C60" t="s">
        <v>25</v>
      </c>
      <c r="D60">
        <v>0</v>
      </c>
      <c r="E60">
        <v>320</v>
      </c>
      <c r="F60" s="1">
        <f t="shared" si="0"/>
        <v>0</v>
      </c>
    </row>
    <row r="61" spans="1:6" x14ac:dyDescent="0.3">
      <c r="A61" t="s">
        <v>14</v>
      </c>
      <c r="B61" t="s">
        <v>20</v>
      </c>
      <c r="C61" t="s">
        <v>26</v>
      </c>
      <c r="D61">
        <v>0</v>
      </c>
      <c r="E61">
        <v>124</v>
      </c>
      <c r="F61" s="1">
        <f t="shared" si="0"/>
        <v>0</v>
      </c>
    </row>
    <row r="62" spans="1:6" x14ac:dyDescent="0.3">
      <c r="A62" t="s">
        <v>15</v>
      </c>
      <c r="B62" t="s">
        <v>20</v>
      </c>
      <c r="C62" t="s">
        <v>21</v>
      </c>
      <c r="D62">
        <v>1</v>
      </c>
      <c r="E62">
        <v>86</v>
      </c>
      <c r="F62" s="1">
        <f t="shared" si="0"/>
        <v>1.1627906976744186E-2</v>
      </c>
    </row>
    <row r="63" spans="1:6" x14ac:dyDescent="0.3">
      <c r="A63" t="s">
        <v>15</v>
      </c>
      <c r="B63" t="s">
        <v>20</v>
      </c>
      <c r="C63" t="s">
        <v>22</v>
      </c>
      <c r="D63">
        <v>1</v>
      </c>
      <c r="E63">
        <v>383</v>
      </c>
      <c r="F63" s="1">
        <f t="shared" si="0"/>
        <v>2.6109660574412533E-3</v>
      </c>
    </row>
    <row r="64" spans="1:6" x14ac:dyDescent="0.3">
      <c r="A64" t="s">
        <v>15</v>
      </c>
      <c r="B64" t="s">
        <v>20</v>
      </c>
      <c r="C64" t="s">
        <v>23</v>
      </c>
      <c r="D64">
        <v>2</v>
      </c>
      <c r="E64">
        <v>163</v>
      </c>
      <c r="F64" s="1">
        <f t="shared" si="0"/>
        <v>1.2269938650306749E-2</v>
      </c>
    </row>
    <row r="65" spans="1:6" x14ac:dyDescent="0.3">
      <c r="A65" t="s">
        <v>15</v>
      </c>
      <c r="B65" t="s">
        <v>20</v>
      </c>
      <c r="C65" t="s">
        <v>24</v>
      </c>
      <c r="D65">
        <v>4</v>
      </c>
      <c r="E65">
        <v>388</v>
      </c>
      <c r="F65" s="1">
        <f t="shared" si="0"/>
        <v>1.0309278350515464E-2</v>
      </c>
    </row>
    <row r="66" spans="1:6" x14ac:dyDescent="0.3">
      <c r="A66" t="s">
        <v>15</v>
      </c>
      <c r="B66" t="s">
        <v>20</v>
      </c>
      <c r="C66" t="s">
        <v>25</v>
      </c>
      <c r="D66">
        <v>2</v>
      </c>
      <c r="E66">
        <v>53</v>
      </c>
      <c r="F66" s="1">
        <f t="shared" si="0"/>
        <v>3.7735849056603772E-2</v>
      </c>
    </row>
    <row r="67" spans="1:6" x14ac:dyDescent="0.3">
      <c r="A67" t="s">
        <v>15</v>
      </c>
      <c r="B67" t="s">
        <v>20</v>
      </c>
      <c r="C67" t="s">
        <v>26</v>
      </c>
      <c r="D67">
        <v>0</v>
      </c>
      <c r="E67">
        <v>223</v>
      </c>
      <c r="F67" s="1">
        <f t="shared" ref="F67:F73" si="1">(D67/E67)*1</f>
        <v>0</v>
      </c>
    </row>
    <row r="68" spans="1:6" x14ac:dyDescent="0.3">
      <c r="A68" t="s">
        <v>16</v>
      </c>
      <c r="B68" t="s">
        <v>20</v>
      </c>
      <c r="C68" t="s">
        <v>21</v>
      </c>
      <c r="D68">
        <v>0</v>
      </c>
      <c r="E68">
        <v>327</v>
      </c>
      <c r="F68" s="1">
        <f t="shared" si="1"/>
        <v>0</v>
      </c>
    </row>
    <row r="69" spans="1:6" x14ac:dyDescent="0.3">
      <c r="A69" t="s">
        <v>16</v>
      </c>
      <c r="B69" t="s">
        <v>20</v>
      </c>
      <c r="C69" t="s">
        <v>22</v>
      </c>
      <c r="D69">
        <v>2</v>
      </c>
      <c r="E69">
        <v>374</v>
      </c>
      <c r="F69" s="1">
        <f t="shared" si="1"/>
        <v>5.3475935828877002E-3</v>
      </c>
    </row>
    <row r="70" spans="1:6" x14ac:dyDescent="0.3">
      <c r="A70" t="s">
        <v>16</v>
      </c>
      <c r="B70" t="s">
        <v>20</v>
      </c>
      <c r="C70" t="s">
        <v>23</v>
      </c>
      <c r="D70">
        <v>4</v>
      </c>
      <c r="E70">
        <v>383</v>
      </c>
      <c r="F70" s="1">
        <f t="shared" si="1"/>
        <v>1.0443864229765013E-2</v>
      </c>
    </row>
    <row r="71" spans="1:6" x14ac:dyDescent="0.3">
      <c r="A71" t="s">
        <v>16</v>
      </c>
      <c r="B71" t="s">
        <v>20</v>
      </c>
      <c r="C71" t="s">
        <v>24</v>
      </c>
      <c r="D71">
        <v>1</v>
      </c>
      <c r="E71">
        <v>296</v>
      </c>
      <c r="F71" s="1">
        <f t="shared" si="1"/>
        <v>3.3783783783783786E-3</v>
      </c>
    </row>
    <row r="72" spans="1:6" x14ac:dyDescent="0.3">
      <c r="A72" t="s">
        <v>16</v>
      </c>
      <c r="B72" t="s">
        <v>20</v>
      </c>
      <c r="C72" t="s">
        <v>25</v>
      </c>
      <c r="D72">
        <v>0</v>
      </c>
      <c r="E72">
        <v>327</v>
      </c>
      <c r="F72" s="1">
        <f t="shared" si="1"/>
        <v>0</v>
      </c>
    </row>
    <row r="73" spans="1:6" x14ac:dyDescent="0.3">
      <c r="A73" t="s">
        <v>16</v>
      </c>
      <c r="B73" t="s">
        <v>20</v>
      </c>
      <c r="C73" t="s">
        <v>26</v>
      </c>
      <c r="D73">
        <v>0</v>
      </c>
      <c r="E73">
        <v>307</v>
      </c>
      <c r="F73" s="1">
        <f t="shared" si="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D749-70CE-432F-BC66-98BBA24A6DE5}">
  <dimension ref="A2:F34"/>
  <sheetViews>
    <sheetView showGridLines="0" zoomScale="70" zoomScaleNormal="70" workbookViewId="0">
      <selection activeCell="C23" sqref="C23"/>
    </sheetView>
  </sheetViews>
  <sheetFormatPr defaultRowHeight="14.4" x14ac:dyDescent="0.3"/>
  <cols>
    <col min="1" max="1" width="15" bestFit="1" customWidth="1"/>
    <col min="2" max="2" width="18" bestFit="1" customWidth="1"/>
    <col min="3" max="3" width="8.5546875" bestFit="1" customWidth="1"/>
    <col min="4" max="4" width="10.21875" customWidth="1"/>
    <col min="5" max="5" width="12.6640625" customWidth="1"/>
    <col min="6" max="6" width="13" bestFit="1" customWidth="1"/>
    <col min="7" max="7" width="16.109375" bestFit="1" customWidth="1"/>
    <col min="8" max="8" width="9.33203125" customWidth="1"/>
    <col min="9" max="9" width="16.21875" customWidth="1"/>
    <col min="10" max="10" width="10.21875" customWidth="1"/>
    <col min="11" max="11" width="11" bestFit="1" customWidth="1"/>
    <col min="13" max="13" width="11" bestFit="1" customWidth="1"/>
    <col min="14" max="14" width="10" customWidth="1"/>
    <col min="15" max="15" width="16.109375" customWidth="1"/>
    <col min="16" max="16" width="10.44140625" customWidth="1"/>
  </cols>
  <sheetData>
    <row r="2" spans="1:6" x14ac:dyDescent="0.3">
      <c r="A2" s="3" t="s">
        <v>28</v>
      </c>
      <c r="B2" s="9"/>
    </row>
    <row r="4" spans="1:6" x14ac:dyDescent="0.3">
      <c r="A4" s="8" t="s">
        <v>0</v>
      </c>
      <c r="B4" s="8" t="s">
        <v>1</v>
      </c>
      <c r="C4" s="8" t="s">
        <v>27</v>
      </c>
      <c r="D4" s="8" t="s">
        <v>29</v>
      </c>
      <c r="E4" s="8" t="s">
        <v>31</v>
      </c>
      <c r="F4" s="8" t="s">
        <v>32</v>
      </c>
    </row>
    <row r="5" spans="1:6" x14ac:dyDescent="0.3">
      <c r="A5" s="4" t="s">
        <v>5</v>
      </c>
      <c r="B5" s="4" t="str">
        <f>VLOOKUP(Table2[[#This Row],[Month]], Dataset[], 2,FALSE)</f>
        <v>Q1</v>
      </c>
      <c r="C5" s="5">
        <f t="shared" ref="C5:C16" si="0">SUMIF(Month, A5, Infection_Rate)</f>
        <v>0.14223197137834345</v>
      </c>
      <c r="D5" s="7">
        <f>AVERAGE($C$5:$C$16)</f>
        <v>8.4948580002439031E-2</v>
      </c>
      <c r="E5" s="6">
        <f>D5+3*_xlfn.STDEV.S($C$5:$C$16)</f>
        <v>0.21433769384763535</v>
      </c>
      <c r="F5" s="6">
        <f>ABS(D5-3*_xlfn.STDEV.S($C$5:$C$16))</f>
        <v>4.4440533842757271E-2</v>
      </c>
    </row>
    <row r="6" spans="1:6" x14ac:dyDescent="0.3">
      <c r="A6" s="4" t="s">
        <v>6</v>
      </c>
      <c r="B6" s="4" t="str">
        <f>VLOOKUP(Table2[[#This Row],[Month]], Dataset[], 2,FALSE)</f>
        <v>Q1</v>
      </c>
      <c r="C6" s="5">
        <f t="shared" si="0"/>
        <v>3.9875879421774764E-2</v>
      </c>
      <c r="D6" s="7">
        <f t="shared" ref="D6:D16" si="1">AVERAGE($C$5:$C$16)</f>
        <v>8.4948580002439031E-2</v>
      </c>
      <c r="E6" s="6">
        <f t="shared" ref="E6:E16" si="2">D6+3*_xlfn.STDEV.S($C$5:$C$16)</f>
        <v>0.21433769384763535</v>
      </c>
      <c r="F6" s="6">
        <f t="shared" ref="F6:F16" si="3">ABS(D6-3*_xlfn.STDEV.S($C$5:$C$16))</f>
        <v>4.4440533842757271E-2</v>
      </c>
    </row>
    <row r="7" spans="1:6" x14ac:dyDescent="0.3">
      <c r="A7" s="4" t="s">
        <v>7</v>
      </c>
      <c r="B7" s="4" t="str">
        <f>VLOOKUP(Table2[[#This Row],[Month]], Dataset[], 2,FALSE)</f>
        <v>Q1</v>
      </c>
      <c r="C7" s="5">
        <f t="shared" si="0"/>
        <v>0.14379482477111005</v>
      </c>
      <c r="D7" s="7">
        <f t="shared" si="1"/>
        <v>8.4948580002439031E-2</v>
      </c>
      <c r="E7" s="6">
        <f t="shared" si="2"/>
        <v>0.21433769384763535</v>
      </c>
      <c r="F7" s="6">
        <f t="shared" si="3"/>
        <v>4.4440533842757271E-2</v>
      </c>
    </row>
    <row r="8" spans="1:6" x14ac:dyDescent="0.3">
      <c r="A8" s="4" t="s">
        <v>8</v>
      </c>
      <c r="B8" s="4" t="str">
        <f>VLOOKUP(Table2[[#This Row],[Month]], Dataset[], 2,FALSE)</f>
        <v>Q2</v>
      </c>
      <c r="C8" s="5">
        <f t="shared" si="0"/>
        <v>0.1387745068811449</v>
      </c>
      <c r="D8" s="7">
        <f t="shared" si="1"/>
        <v>8.4948580002439031E-2</v>
      </c>
      <c r="E8" s="6">
        <f t="shared" si="2"/>
        <v>0.21433769384763535</v>
      </c>
      <c r="F8" s="6">
        <f t="shared" si="3"/>
        <v>4.4440533842757271E-2</v>
      </c>
    </row>
    <row r="9" spans="1:6" x14ac:dyDescent="0.3">
      <c r="A9" s="4" t="s">
        <v>9</v>
      </c>
      <c r="B9" s="4" t="str">
        <f>VLOOKUP(Table2[[#This Row],[Month]], Dataset[], 2,FALSE)</f>
        <v>Q2</v>
      </c>
      <c r="C9" s="5">
        <f t="shared" si="0"/>
        <v>0.12013029635524819</v>
      </c>
      <c r="D9" s="7">
        <f t="shared" si="1"/>
        <v>8.4948580002439031E-2</v>
      </c>
      <c r="E9" s="6">
        <f t="shared" si="2"/>
        <v>0.21433769384763535</v>
      </c>
      <c r="F9" s="6">
        <f t="shared" si="3"/>
        <v>4.4440533842757271E-2</v>
      </c>
    </row>
    <row r="10" spans="1:6" x14ac:dyDescent="0.3">
      <c r="A10" s="4" t="s">
        <v>10</v>
      </c>
      <c r="B10" s="4" t="str">
        <f>VLOOKUP(Table2[[#This Row],[Month]], Dataset[], 2,FALSE)</f>
        <v>Q2</v>
      </c>
      <c r="C10" s="5">
        <f t="shared" si="0"/>
        <v>8.4437311545569493E-2</v>
      </c>
      <c r="D10" s="7">
        <f t="shared" si="1"/>
        <v>8.4948580002439031E-2</v>
      </c>
      <c r="E10" s="6">
        <f t="shared" si="2"/>
        <v>0.21433769384763535</v>
      </c>
      <c r="F10" s="6">
        <f t="shared" si="3"/>
        <v>4.4440533842757271E-2</v>
      </c>
    </row>
    <row r="11" spans="1:6" x14ac:dyDescent="0.3">
      <c r="A11" s="4" t="s">
        <v>11</v>
      </c>
      <c r="B11" s="4" t="str">
        <f>VLOOKUP(Table2[[#This Row],[Month]], Dataset[], 2,FALSE)</f>
        <v>Q3</v>
      </c>
      <c r="C11" s="5">
        <f t="shared" si="0"/>
        <v>5.6677410753497713E-2</v>
      </c>
      <c r="D11" s="7">
        <f t="shared" si="1"/>
        <v>8.4948580002439031E-2</v>
      </c>
      <c r="E11" s="6">
        <f t="shared" si="2"/>
        <v>0.21433769384763535</v>
      </c>
      <c r="F11" s="6">
        <f t="shared" si="3"/>
        <v>4.4440533842757271E-2</v>
      </c>
    </row>
    <row r="12" spans="1:6" x14ac:dyDescent="0.3">
      <c r="A12" s="4" t="s">
        <v>12</v>
      </c>
      <c r="B12" s="4" t="str">
        <f>VLOOKUP(Table2[[#This Row],[Month]], Dataset[], 2,FALSE)</f>
        <v>Q3</v>
      </c>
      <c r="C12" s="5">
        <f t="shared" si="0"/>
        <v>4.4708074841722838E-2</v>
      </c>
      <c r="D12" s="7">
        <f t="shared" si="1"/>
        <v>8.4948580002439031E-2</v>
      </c>
      <c r="E12" s="6">
        <f t="shared" si="2"/>
        <v>0.21433769384763535</v>
      </c>
      <c r="F12" s="6">
        <f t="shared" si="3"/>
        <v>4.4440533842757271E-2</v>
      </c>
    </row>
    <row r="13" spans="1:6" x14ac:dyDescent="0.3">
      <c r="A13" s="4" t="s">
        <v>13</v>
      </c>
      <c r="B13" s="4" t="str">
        <f>VLOOKUP(Table2[[#This Row],[Month]], Dataset[], 2,FALSE)</f>
        <v>Q3</v>
      </c>
      <c r="C13" s="5">
        <f t="shared" si="0"/>
        <v>9.4644011571212064E-2</v>
      </c>
      <c r="D13" s="7">
        <f t="shared" si="1"/>
        <v>8.4948580002439031E-2</v>
      </c>
      <c r="E13" s="6">
        <f t="shared" si="2"/>
        <v>0.21433769384763535</v>
      </c>
      <c r="F13" s="6">
        <f t="shared" si="3"/>
        <v>4.4440533842757271E-2</v>
      </c>
    </row>
    <row r="14" spans="1:6" x14ac:dyDescent="0.3">
      <c r="A14" s="4" t="s">
        <v>14</v>
      </c>
      <c r="B14" s="4" t="str">
        <f>VLOOKUP(Table2[[#This Row],[Month]], Dataset[], 2,FALSE)</f>
        <v>Q4</v>
      </c>
      <c r="C14" s="5">
        <f t="shared" si="0"/>
        <v>6.0384897227002493E-2</v>
      </c>
      <c r="D14" s="7">
        <f t="shared" si="1"/>
        <v>8.4948580002439031E-2</v>
      </c>
      <c r="E14" s="6">
        <f t="shared" si="2"/>
        <v>0.21433769384763535</v>
      </c>
      <c r="F14" s="6">
        <f t="shared" si="3"/>
        <v>4.4440533842757271E-2</v>
      </c>
    </row>
    <row r="15" spans="1:6" x14ac:dyDescent="0.3">
      <c r="A15" s="4" t="s">
        <v>15</v>
      </c>
      <c r="B15" s="4" t="str">
        <f>VLOOKUP(Table2[[#This Row],[Month]], Dataset[], 2,FALSE)</f>
        <v>Q4</v>
      </c>
      <c r="C15" s="5">
        <f t="shared" si="0"/>
        <v>7.4553939091611426E-2</v>
      </c>
      <c r="D15" s="7">
        <f t="shared" si="1"/>
        <v>8.4948580002439031E-2</v>
      </c>
      <c r="E15" s="6">
        <f t="shared" si="2"/>
        <v>0.21433769384763535</v>
      </c>
      <c r="F15" s="6">
        <f t="shared" si="3"/>
        <v>4.4440533842757271E-2</v>
      </c>
    </row>
    <row r="16" spans="1:6" x14ac:dyDescent="0.3">
      <c r="A16" s="4" t="s">
        <v>16</v>
      </c>
      <c r="B16" s="4" t="str">
        <f>VLOOKUP(Table2[[#This Row],[Month]], Dataset[], 2,FALSE)</f>
        <v>Q4</v>
      </c>
      <c r="C16" s="5">
        <f t="shared" si="0"/>
        <v>1.9169836191031093E-2</v>
      </c>
      <c r="D16" s="7">
        <f t="shared" si="1"/>
        <v>8.4948580002439031E-2</v>
      </c>
      <c r="E16" s="6">
        <f t="shared" si="2"/>
        <v>0.21433769384763535</v>
      </c>
      <c r="F16" s="6">
        <f t="shared" si="3"/>
        <v>4.4440533842757271E-2</v>
      </c>
    </row>
    <row r="20" spans="1:3" x14ac:dyDescent="0.3">
      <c r="A20" s="10" t="s">
        <v>2</v>
      </c>
      <c r="B20" t="s">
        <v>34</v>
      </c>
    </row>
    <row r="22" spans="1:3" x14ac:dyDescent="0.3">
      <c r="A22" s="10" t="s">
        <v>33</v>
      </c>
      <c r="B22" t="s">
        <v>35</v>
      </c>
      <c r="C22" t="s">
        <v>30</v>
      </c>
    </row>
    <row r="23" spans="1:3" x14ac:dyDescent="0.3">
      <c r="A23" s="11" t="s">
        <v>5</v>
      </c>
      <c r="B23" s="2">
        <v>0.14223197137834345</v>
      </c>
      <c r="C23" s="2"/>
    </row>
    <row r="24" spans="1:3" x14ac:dyDescent="0.3">
      <c r="A24" s="11" t="s">
        <v>6</v>
      </c>
      <c r="B24" s="2">
        <v>3.9875879421774764E-2</v>
      </c>
      <c r="C24" s="2">
        <v>-0.1023560919565687</v>
      </c>
    </row>
    <row r="25" spans="1:3" x14ac:dyDescent="0.3">
      <c r="A25" s="11" t="s">
        <v>7</v>
      </c>
      <c r="B25" s="2">
        <v>0.14379482477111005</v>
      </c>
      <c r="C25" s="2">
        <v>0.1039189453493353</v>
      </c>
    </row>
    <row r="26" spans="1:3" x14ac:dyDescent="0.3">
      <c r="A26" s="11" t="s">
        <v>8</v>
      </c>
      <c r="B26" s="2">
        <v>0.1387745068811449</v>
      </c>
      <c r="C26" s="2">
        <v>-5.0203178899651535E-3</v>
      </c>
    </row>
    <row r="27" spans="1:3" x14ac:dyDescent="0.3">
      <c r="A27" s="11" t="s">
        <v>9</v>
      </c>
      <c r="B27" s="2">
        <v>0.12013029635524819</v>
      </c>
      <c r="C27" s="2">
        <v>-1.8644210525896709E-2</v>
      </c>
    </row>
    <row r="28" spans="1:3" x14ac:dyDescent="0.3">
      <c r="A28" s="11" t="s">
        <v>10</v>
      </c>
      <c r="B28" s="2">
        <v>8.4437311545569493E-2</v>
      </c>
      <c r="C28" s="2">
        <v>-3.5692984809678696E-2</v>
      </c>
    </row>
    <row r="29" spans="1:3" x14ac:dyDescent="0.3">
      <c r="A29" s="11" t="s">
        <v>11</v>
      </c>
      <c r="B29" s="2">
        <v>5.6677410753497713E-2</v>
      </c>
      <c r="C29" s="2">
        <v>-2.775990079207178E-2</v>
      </c>
    </row>
    <row r="30" spans="1:3" x14ac:dyDescent="0.3">
      <c r="A30" s="11" t="s">
        <v>12</v>
      </c>
      <c r="B30" s="2">
        <v>4.4708074841722838E-2</v>
      </c>
      <c r="C30" s="2">
        <v>-1.1969335911774875E-2</v>
      </c>
    </row>
    <row r="31" spans="1:3" x14ac:dyDescent="0.3">
      <c r="A31" s="11" t="s">
        <v>13</v>
      </c>
      <c r="B31" s="2">
        <v>9.4644011571212064E-2</v>
      </c>
      <c r="C31" s="2">
        <v>4.9935936729489226E-2</v>
      </c>
    </row>
    <row r="32" spans="1:3" x14ac:dyDescent="0.3">
      <c r="A32" s="11" t="s">
        <v>14</v>
      </c>
      <c r="B32" s="2">
        <v>6.0384897227002493E-2</v>
      </c>
      <c r="C32" s="2">
        <v>-3.4259114344209571E-2</v>
      </c>
    </row>
    <row r="33" spans="1:3" x14ac:dyDescent="0.3">
      <c r="A33" s="11" t="s">
        <v>15</v>
      </c>
      <c r="B33" s="2">
        <v>7.4553939091611426E-2</v>
      </c>
      <c r="C33" s="2">
        <v>1.4169041864608933E-2</v>
      </c>
    </row>
    <row r="34" spans="1:3" x14ac:dyDescent="0.3">
      <c r="A34" s="11" t="s">
        <v>16</v>
      </c>
      <c r="B34" s="2">
        <v>1.9169836191031093E-2</v>
      </c>
      <c r="C34" s="2">
        <v>-5.5384102900580337E-2</v>
      </c>
    </row>
  </sheetData>
  <phoneticPr fontId="3" type="noConversion"/>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B6C2-C77F-4DE9-9624-C74455F1EC6F}">
  <dimension ref="Z27"/>
  <sheetViews>
    <sheetView showGridLines="0" showRowColHeaders="0" tabSelected="1" topLeftCell="A22" zoomScaleNormal="100" workbookViewId="0">
      <selection activeCell="W43" sqref="W43"/>
    </sheetView>
  </sheetViews>
  <sheetFormatPr defaultRowHeight="14.4" x14ac:dyDescent="0.3"/>
  <sheetData>
    <row r="27" spans="26:26" x14ac:dyDescent="0.3">
      <c r="Z27"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Dataset</vt:lpstr>
      <vt:lpstr>Analysis</vt:lpstr>
      <vt:lpstr>Dashboard</vt:lpstr>
      <vt:lpstr>Denominator</vt:lpstr>
      <vt:lpstr>Department</vt:lpstr>
      <vt:lpstr>Infection_Observed</vt:lpstr>
      <vt:lpstr>Infection_Rate</vt:lpstr>
      <vt:lpstr>Month</vt:lpstr>
      <vt:lpstr>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Yousef Khalil</cp:lastModifiedBy>
  <dcterms:created xsi:type="dcterms:W3CDTF">2026-08-24T12:53:33Z</dcterms:created>
  <dcterms:modified xsi:type="dcterms:W3CDTF">2026-08-29T09:10:43Z</dcterms:modified>
</cp:coreProperties>
</file>